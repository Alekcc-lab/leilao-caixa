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as" sheetId="1" state="visible" r:id="rId1"/>
    <sheet name="Guia" sheetId="2" state="visible" r:id="rId2"/>
    <sheet name="Entradas" sheetId="3" state="visible" r:id="rId3"/>
    <sheet name="Diligencia" sheetId="4" state="visible" r:id="rId4"/>
    <sheet name="Debitos" sheetId="5" state="visible" r:id="rId5"/>
    <sheet name="Comparaveis" sheetId="6" state="visible" r:id="rId6"/>
    <sheet name="Reforma" sheetId="7" state="visible" r:id="rId7"/>
    <sheet name="Cenarios" sheetId="8" state="visible" r:id="rId8"/>
    <sheet name="Fluxo" sheetId="9" state="visible" r:id="rId9"/>
    <sheet name="Score" sheetId="10" state="visible" r:id="rId10"/>
    <sheet name="Dashboard" sheetId="11" state="visible" r:id="rId11"/>
  </sheets>
  <definedNames/>
</workbook>
</file>

<file path=xl/styles.xml><?xml version="1.0" encoding="utf-8"?>
<styleSheet xmlns="http://schemas.openxmlformats.org/spreadsheetml/2006/main">
  <numFmts count="5">
    <numFmt numFmtId="164" formatCode="R$ #,##0.00;[Red](R$ #,##0.00);-"/>
    <numFmt numFmtId="165" formatCode="0.0%;[Red](0.0%);-"/>
    <numFmt numFmtId="166" formatCode="dd/mm/yyyy"/>
    <numFmt numFmtId="167" formatCode="#,##0;[Red](#,##0);-"/>
    <numFmt numFmtId="168" formatCode="&quot;FOLGA: &quot;R$ #,##0;[Red]&quot;FOLGA: &quot;(R$ #,##0);&quot;FOLGA: -&quot;"/>
  </numFmts>
  <fonts count="10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color rgb="FF0000FF"/>
      <sz val="11"/>
    </font>
    <font>
      <name val="Carlito"/>
      <b val="1"/>
      <color rgb="FFC00000"/>
      <sz val="11"/>
    </font>
    <font>
      <name val="Carlito"/>
      <color rgb="FF000000"/>
      <sz val="11"/>
    </font>
    <font>
      <name val="Carlito"/>
      <color rgb="FF008000"/>
      <sz val="11"/>
    </font>
    <font>
      <name val="Carlito"/>
      <b val="1"/>
      <color rgb="FFC00000"/>
      <sz val="22"/>
    </font>
    <font>
      <name val="Carlito"/>
      <b val="1"/>
      <color rgb="FF17365D"/>
      <sz val="18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1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left"/>
    </xf>
    <xf numFmtId="0" fontId="1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0" fillId="4" borderId="1" pivotButton="0" quotePrefix="0" xfId="0"/>
    <xf numFmtId="0" fontId="4" fillId="4" borderId="0" pivotButton="0" quotePrefix="0" xfId="0"/>
    <xf numFmtId="0" fontId="4" fillId="4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wrapText="1"/>
    </xf>
    <xf numFmtId="164" fontId="4" fillId="4" borderId="0" pivotButton="0" quotePrefix="0" xfId="0"/>
    <xf numFmtId="164" fontId="4" fillId="4" borderId="1" pivotButton="0" quotePrefix="0" xfId="0"/>
    <xf numFmtId="165" fontId="4" fillId="4" borderId="0" pivotButton="0" quotePrefix="0" xfId="0"/>
    <xf numFmtId="165" fontId="4" fillId="4" borderId="1" pivotButton="0" quotePrefix="0" xfId="0"/>
    <xf numFmtId="166" fontId="4" fillId="4" borderId="0" pivotButton="0" quotePrefix="0" xfId="0"/>
    <xf numFmtId="166" fontId="0" fillId="0" borderId="0" pivotButton="0" quotePrefix="0" xfId="0"/>
    <xf numFmtId="166" fontId="1" fillId="2" borderId="0" applyAlignment="1" pivotButton="0" quotePrefix="0" xfId="0">
      <alignment horizontal="center" vertical="center" wrapText="1"/>
    </xf>
    <xf numFmtId="166" fontId="4" fillId="4" borderId="1" pivotButton="0" quotePrefix="0" xfId="0"/>
    <xf numFmtId="166" fontId="0" fillId="0" borderId="1" pivotButton="0" quotePrefix="0" xfId="0"/>
    <xf numFmtId="166" fontId="1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1" pivotButton="0" quotePrefix="0" xfId="0"/>
    <xf numFmtId="164" fontId="6" fillId="0" borderId="0" pivotButton="0" quotePrefix="0" xfId="0"/>
    <xf numFmtId="164" fontId="6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7" fillId="0" borderId="0" pivotButton="0" quotePrefix="0" xfId="0"/>
    <xf numFmtId="164" fontId="7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0" fontId="7" fillId="4" borderId="0" pivotButton="0" quotePrefix="0" xfId="0"/>
    <xf numFmtId="0" fontId="7" fillId="4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7" fillId="4" borderId="0" pivotButton="0" quotePrefix="0" xfId="0"/>
    <xf numFmtId="164" fontId="7" fillId="4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7" fontId="7" fillId="0" borderId="0" pivotButton="0" quotePrefix="0" xfId="0"/>
    <xf numFmtId="165" fontId="7" fillId="0" borderId="0" pivotButton="0" quotePrefix="0" xfId="0"/>
    <xf numFmtId="167" fontId="7" fillId="0" borderId="1" pivotButton="0" quotePrefix="0" xfId="0"/>
    <xf numFmtId="165" fontId="7" fillId="0" borderId="1" pivotButton="0" quotePrefix="0" xfId="0"/>
    <xf numFmtId="0" fontId="0" fillId="6" borderId="0" pivotButton="0" quotePrefix="0" xfId="0"/>
    <xf numFmtId="0" fontId="0" fillId="6" borderId="1" pivotButton="0" quotePrefix="0" xfId="0"/>
    <xf numFmtId="0" fontId="8" fillId="6" borderId="0" pivotButton="0" quotePrefix="0" xfId="0"/>
    <xf numFmtId="0" fontId="8" fillId="6" borderId="0" applyAlignment="1" pivotButton="0" quotePrefix="0" xfId="0">
      <alignment wrapText="1"/>
    </xf>
    <xf numFmtId="0" fontId="8" fillId="6" borderId="0" applyAlignment="1" pivotButton="0" quotePrefix="0" xfId="0">
      <alignment horizontal="center" wrapText="1"/>
    </xf>
    <xf numFmtId="0" fontId="8" fillId="6" borderId="0" applyAlignment="1" pivotButton="0" quotePrefix="0" xfId="0">
      <alignment horizontal="center" vertical="center" wrapText="1"/>
    </xf>
    <xf numFmtId="0" fontId="8" fillId="6" borderId="1" pivotButton="0" quotePrefix="0" xfId="0"/>
    <xf numFmtId="0" fontId="8" fillId="6" borderId="1" applyAlignment="1" pivotButton="0" quotePrefix="0" xfId="0">
      <alignment wrapText="1"/>
    </xf>
    <xf numFmtId="0" fontId="8" fillId="6" borderId="1" applyAlignment="1" pivotButton="0" quotePrefix="0" xfId="0">
      <alignment horizont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1" pivotButton="0" quotePrefix="0" xfId="0"/>
    <xf numFmtId="0" fontId="9" fillId="6" borderId="1" applyAlignment="1" pivotButton="0" quotePrefix="0" xfId="0">
      <alignment wrapText="1"/>
    </xf>
    <xf numFmtId="0" fontId="9" fillId="6" borderId="1" applyAlignment="1" pivotButton="0" quotePrefix="0" xfId="0">
      <alignment horizontal="center" wrapText="1"/>
    </xf>
    <xf numFmtId="0" fontId="9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166" fontId="4" fillId="4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165" fontId="4" fillId="4" borderId="0" applyAlignment="1" pivotButton="0" quotePrefix="0" xfId="0">
      <alignment vertical="center"/>
    </xf>
    <xf numFmtId="166" fontId="4" fillId="4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7" fillId="4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8" fontId="9" fillId="6" borderId="0" applyAlignment="1" pivotButton="0" quotePrefix="0" xfId="0">
      <alignment horizontal="center" vertical="center" wrapText="1"/>
    </xf>
    <xf numFmtId="166" fontId="4" fillId="4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1" fillId="2" borderId="0" applyAlignment="1" pivotButton="0" quotePrefix="0" xfId="0">
      <alignment horizontal="center" vertical="center" wrapText="1"/>
    </xf>
    <xf numFmtId="164" fontId="4" fillId="4" borderId="0" applyAlignment="1" pivotButton="0" quotePrefix="0" xfId="0">
      <alignment vertical="center"/>
    </xf>
    <xf numFmtId="165" fontId="4" fillId="4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7" fillId="4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8" fontId="9" fillId="6" borderId="1" applyAlignment="1" pivotButton="0" quotePrefix="0" xfId="0">
      <alignment horizontal="center" vertical="center" wrapText="1"/>
    </xf>
  </cellXfs>
  <cellStyles count="1">
    <cellStyle name="Normal" xfId="0"/>
  </cellStyles>
  <dxfs count="10">
    <dxf>
      <font>
        <b val="1"/>
        <color rgb="FFC00000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FFF2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Status</t>
        </is>
      </c>
      <c r="B1" s="6" t="inlineStr">
        <is>
          <t>Criticidade</t>
        </is>
      </c>
      <c r="C1" s="6" t="inlineStr">
        <is>
          <t>Ocupação</t>
        </is>
      </c>
      <c r="D1" s="6" t="inlineStr">
        <is>
          <t>Conservação</t>
        </is>
      </c>
      <c r="E1" s="6" t="inlineStr">
        <is>
          <t>Liquidez</t>
        </is>
      </c>
      <c r="F1" s="6" t="inlineStr">
        <is>
          <t>Risco jurídico</t>
        </is>
      </c>
      <c r="G1" s="6" t="inlineStr">
        <is>
          <t>SimNão</t>
        </is>
      </c>
      <c r="H1" s="6" t="inlineStr">
        <is>
          <t>Cenário</t>
        </is>
      </c>
    </row>
    <row r="2">
      <c r="A2" t="inlineStr">
        <is>
          <t>OK</t>
        </is>
      </c>
      <c r="B2" t="inlineStr">
        <is>
          <t>Crítico</t>
        </is>
      </c>
      <c r="C2" t="inlineStr">
        <is>
          <t>Desocupado</t>
        </is>
      </c>
      <c r="D2" t="inlineStr">
        <is>
          <t>Excelente</t>
        </is>
      </c>
      <c r="E2" t="inlineStr">
        <is>
          <t>Alta</t>
        </is>
      </c>
      <c r="F2" t="inlineStr">
        <is>
          <t>Muito baixo</t>
        </is>
      </c>
      <c r="G2" t="inlineStr">
        <is>
          <t>Sim</t>
        </is>
      </c>
      <c r="H2" t="inlineStr">
        <is>
          <t>Pessimista</t>
        </is>
      </c>
    </row>
    <row r="3">
      <c r="A3" t="inlineStr">
        <is>
          <t>Pendente</t>
        </is>
      </c>
      <c r="B3" t="inlineStr">
        <is>
          <t>Importante</t>
        </is>
      </c>
      <c r="C3" t="inlineStr">
        <is>
          <t>Saída amigável provável</t>
        </is>
      </c>
      <c r="D3" t="inlineStr">
        <is>
          <t>Bom</t>
        </is>
      </c>
      <c r="E3" t="inlineStr">
        <is>
          <t>Média</t>
        </is>
      </c>
      <c r="F3" t="inlineStr">
        <is>
          <t>Baixo</t>
        </is>
      </c>
      <c r="G3" t="inlineStr">
        <is>
          <t>Não</t>
        </is>
      </c>
      <c r="H3" t="inlineStr">
        <is>
          <t>Base</t>
        </is>
      </c>
    </row>
    <row r="4">
      <c r="A4" t="inlineStr">
        <is>
          <t>Problema</t>
        </is>
      </c>
      <c r="B4" t="inlineStr">
        <is>
          <t>Desejável</t>
        </is>
      </c>
      <c r="C4" t="inlineStr">
        <is>
          <t>Ocupado - incerto</t>
        </is>
      </c>
      <c r="D4" t="inlineStr">
        <is>
          <t>Regular</t>
        </is>
      </c>
      <c r="E4" t="inlineStr">
        <is>
          <t>Baixa</t>
        </is>
      </c>
      <c r="F4" t="inlineStr">
        <is>
          <t>Médio</t>
        </is>
      </c>
      <c r="G4" t="inlineStr">
        <is>
          <t>A confirmar</t>
        </is>
      </c>
      <c r="H4" t="inlineStr">
        <is>
          <t>Otimista</t>
        </is>
      </c>
    </row>
    <row r="5">
      <c r="A5" t="inlineStr">
        <is>
          <t>N/A</t>
        </is>
      </c>
      <c r="C5" t="inlineStr">
        <is>
          <t>Litígio/resistência</t>
        </is>
      </c>
      <c r="D5" t="inlineStr">
        <is>
          <t>Ruim</t>
        </is>
      </c>
      <c r="F5" t="inlineStr">
        <is>
          <t>Alto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7" t="inlineStr">
        <is>
          <t>GUIA RÁPIDO — ANÁLISE DE IMÓVEIS EM LEILÃO</t>
        </is>
      </c>
      <c r="B1" s="1" t="n"/>
      <c r="C1" s="1" t="n"/>
      <c r="D1" s="1" t="n"/>
      <c r="E1" s="1" t="n"/>
      <c r="F1" s="1" t="n"/>
      <c r="G1" s="1" t="n"/>
      <c r="H1" s="1" t="n"/>
      <c r="I1" s="92" t="n"/>
      <c r="J1" s="92" t="n"/>
      <c r="K1" s="92" t="n"/>
      <c r="L1" s="92" t="n"/>
      <c r="M1" s="92" t="n"/>
      <c r="N1" s="92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 ht="22" customHeight="1">
      <c r="A3" s="25" t="inlineStr">
        <is>
          <t>COMO USAR</t>
        </is>
      </c>
      <c r="B3" s="1" t="n"/>
      <c r="C3" s="1" t="n"/>
      <c r="D3" s="1" t="n"/>
      <c r="E3" s="1" t="n"/>
      <c r="F3" s="1" t="n"/>
      <c r="G3" s="1" t="n"/>
      <c r="H3" s="1" t="n"/>
      <c r="I3" s="92" t="n"/>
      <c r="J3" s="92" t="n"/>
      <c r="K3" s="92" t="n"/>
      <c r="L3" s="92" t="n"/>
      <c r="M3" s="92" t="n"/>
      <c r="N3" s="92" t="n"/>
    </row>
    <row r="4">
      <c r="A4" s="93" t="inlineStr">
        <is>
          <t>1</t>
        </is>
      </c>
      <c r="B4" s="94" t="inlineStr">
        <is>
          <t>Preencha somente as células amarelas com fonte azul.</t>
        </is>
      </c>
      <c r="C4" s="94" t="n"/>
      <c r="D4" s="94" t="n"/>
      <c r="E4" s="94" t="n"/>
      <c r="F4" s="94" t="n"/>
      <c r="G4" s="94" t="n"/>
      <c r="H4" s="94" t="n"/>
      <c r="I4" s="92" t="n"/>
      <c r="J4" s="92" t="n"/>
      <c r="K4" s="92" t="n"/>
      <c r="L4" s="92" t="n"/>
      <c r="M4" s="92" t="n"/>
      <c r="N4" s="92" t="n"/>
    </row>
    <row r="5">
      <c r="A5" s="93" t="inlineStr">
        <is>
          <t>2</t>
        </is>
      </c>
      <c r="B5" s="94" t="inlineStr">
        <is>
          <t>Conclua a diligência. Itens críticos pendentes ou com problema bloqueiam o lance.</t>
        </is>
      </c>
      <c r="C5" s="94" t="n"/>
      <c r="D5" s="94" t="n"/>
      <c r="E5" s="94" t="n"/>
      <c r="F5" s="94" t="n"/>
      <c r="G5" s="94" t="n"/>
      <c r="H5" s="94" t="n"/>
      <c r="I5" s="92" t="n"/>
      <c r="J5" s="92" t="n"/>
      <c r="K5" s="92" t="n"/>
      <c r="L5" s="92" t="n"/>
      <c r="M5" s="92" t="n"/>
      <c r="N5" s="92" t="n"/>
    </row>
    <row r="6">
      <c r="A6" s="93" t="inlineStr">
        <is>
          <t>3</t>
        </is>
      </c>
      <c r="B6" s="94" t="inlineStr">
        <is>
          <t>Valide valor de mercado com comparáveis reais e orçamento de reforma.</t>
        </is>
      </c>
      <c r="C6" s="94" t="n"/>
      <c r="D6" s="94" t="n"/>
      <c r="E6" s="94" t="n"/>
      <c r="F6" s="94" t="n"/>
      <c r="G6" s="94" t="n"/>
      <c r="H6" s="94" t="n"/>
      <c r="I6" s="92" t="n"/>
      <c r="J6" s="92" t="n"/>
      <c r="K6" s="92" t="n"/>
      <c r="L6" s="92" t="n"/>
      <c r="M6" s="92" t="n"/>
      <c r="N6" s="92" t="n"/>
    </row>
    <row r="7">
      <c r="A7" s="93" t="inlineStr">
        <is>
          <t>4</t>
        </is>
      </c>
      <c r="B7" s="94" t="inlineStr">
        <is>
          <t>Consulte Score e Dashboard antes de definir o lance.</t>
        </is>
      </c>
      <c r="C7" s="94" t="n"/>
      <c r="D7" s="94" t="n"/>
      <c r="E7" s="94" t="n"/>
      <c r="F7" s="94" t="n"/>
      <c r="G7" s="94" t="n"/>
      <c r="H7" s="94" t="n"/>
      <c r="I7" s="92" t="n"/>
      <c r="J7" s="92" t="n"/>
      <c r="K7" s="92" t="n"/>
      <c r="L7" s="92" t="n"/>
      <c r="M7" s="92" t="n"/>
      <c r="N7" s="92" t="n"/>
    </row>
    <row r="8">
      <c r="A8" s="93" t="inlineStr">
        <is>
          <t>5</t>
        </is>
      </c>
      <c r="B8" s="94" t="inlineStr">
        <is>
          <t>Nunca ultrapasse o Lance Máximo Recomendado.</t>
        </is>
      </c>
      <c r="C8" s="94" t="n"/>
      <c r="D8" s="94" t="n"/>
      <c r="E8" s="94" t="n"/>
      <c r="F8" s="94" t="n"/>
      <c r="G8" s="94" t="n"/>
      <c r="H8" s="94" t="n"/>
      <c r="I8" s="92" t="n"/>
      <c r="J8" s="92" t="n"/>
      <c r="K8" s="92" t="n"/>
      <c r="L8" s="92" t="n"/>
      <c r="M8" s="92" t="n"/>
      <c r="N8" s="92" t="n"/>
    </row>
    <row r="9">
      <c r="A9" s="92" t="n"/>
      <c r="B9" s="92" t="n"/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92" t="n"/>
      <c r="N9" s="92" t="n"/>
    </row>
    <row r="10" ht="22" customHeight="1">
      <c r="A10" s="25" t="inlineStr">
        <is>
          <t>LEGENDA</t>
        </is>
      </c>
      <c r="B10" s="1" t="n"/>
      <c r="C10" s="1" t="n"/>
      <c r="D10" s="1" t="n"/>
      <c r="E10" s="1" t="n"/>
      <c r="F10" s="1" t="n"/>
      <c r="G10" s="1" t="n"/>
      <c r="H10" s="1" t="n"/>
      <c r="I10" s="92" t="n"/>
      <c r="J10" s="92" t="n"/>
      <c r="K10" s="92" t="n"/>
      <c r="L10" s="92" t="n"/>
      <c r="M10" s="92" t="n"/>
      <c r="N10" s="92" t="n"/>
    </row>
    <row r="11">
      <c r="A11" s="6" t="inlineStr">
        <is>
          <t>Cor</t>
        </is>
      </c>
      <c r="B11" s="6" t="inlineStr">
        <is>
          <t>Significado</t>
        </is>
      </c>
      <c r="C11" s="6" t="inlineStr">
        <is>
          <t>Ação</t>
        </is>
      </c>
      <c r="D11" s="6" t="inlineStr">
        <is>
          <t>Exemplo</t>
        </is>
      </c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</row>
    <row r="12">
      <c r="A12" s="95" t="inlineStr">
        <is>
          <t>Amarelo / azul</t>
        </is>
      </c>
      <c r="B12" s="92" t="inlineStr">
        <is>
          <t>Entrada do usuário</t>
        </is>
      </c>
      <c r="C12" s="92" t="inlineStr">
        <is>
          <t>Preencher ou validar</t>
        </is>
      </c>
      <c r="D12" s="92" t="inlineStr">
        <is>
          <t>Preço, prazo, status</t>
        </is>
      </c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</row>
    <row r="13">
      <c r="A13" s="95" t="inlineStr">
        <is>
          <t>Branco / preto</t>
        </is>
      </c>
      <c r="B13" s="92" t="inlineStr">
        <is>
          <t>Fórmula</t>
        </is>
      </c>
      <c r="C13" s="92" t="inlineStr">
        <is>
          <t>Não alterar</t>
        </is>
      </c>
      <c r="D13" s="92" t="inlineStr">
        <is>
          <t>ROI, lucro, lance máximo</t>
        </is>
      </c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</row>
    <row r="14">
      <c r="A14" s="95" t="inlineStr">
        <is>
          <t>Verde</t>
        </is>
      </c>
      <c r="B14" s="92" t="inlineStr">
        <is>
          <t>Referência entre abas</t>
        </is>
      </c>
      <c r="C14" s="92" t="inlineStr">
        <is>
          <t>Calculado automaticamente</t>
        </is>
      </c>
      <c r="D14" s="92" t="inlineStr">
        <is>
          <t>Valor de mercado validado</t>
        </is>
      </c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</row>
    <row r="15" ht="22" customHeight="1">
      <c r="A15" s="25" t="inlineStr">
        <is>
          <t>AVISO IMPORTANTE</t>
        </is>
      </c>
      <c r="B15" s="1" t="n"/>
      <c r="C15" s="1" t="n"/>
      <c r="D15" s="1" t="n"/>
      <c r="E15" s="1" t="n"/>
      <c r="F15" s="1" t="n"/>
      <c r="G15" s="1" t="n"/>
      <c r="H15" s="1" t="n"/>
      <c r="I15" s="92" t="n"/>
      <c r="J15" s="92" t="n"/>
      <c r="K15" s="92" t="n"/>
      <c r="L15" s="92" t="n"/>
      <c r="M15" s="92" t="n"/>
      <c r="N15" s="92" t="n"/>
    </row>
    <row r="16">
      <c r="A16" s="96" t="inlineStr">
        <is>
          <t>Esta planilha é ferramenta de apoio e não substitui parecer de advogado imobiliário, contador, corretor e engenheiro.</t>
        </is>
      </c>
      <c r="B16" s="96" t="n"/>
      <c r="C16" s="96" t="n"/>
      <c r="D16" s="96" t="n"/>
      <c r="E16" s="96" t="n"/>
      <c r="F16" s="96" t="n"/>
      <c r="G16" s="96" t="n"/>
      <c r="H16" s="96" t="n"/>
      <c r="I16" s="92" t="n"/>
      <c r="J16" s="92" t="n"/>
      <c r="K16" s="92" t="n"/>
      <c r="L16" s="92" t="n"/>
      <c r="M16" s="92" t="n"/>
      <c r="N16" s="92" t="n"/>
    </row>
    <row r="17">
      <c r="A17" s="96" t="inlineStr">
        <is>
          <t>Quando houver ônus, ocupação, processo, irregularidade ou dúvida no edital, não dê lance sem validação profissional.</t>
        </is>
      </c>
      <c r="B17" s="96" t="n"/>
      <c r="C17" s="96" t="n"/>
      <c r="D17" s="96" t="n"/>
      <c r="E17" s="96" t="n"/>
      <c r="F17" s="96" t="n"/>
      <c r="G17" s="96" t="n"/>
      <c r="H17" s="96" t="n"/>
      <c r="I17" s="92" t="n"/>
      <c r="J17" s="92" t="n"/>
      <c r="K17" s="92" t="n"/>
      <c r="L17" s="92" t="n"/>
      <c r="M17" s="92" t="n"/>
      <c r="N17" s="92" t="n"/>
    </row>
    <row r="18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</row>
    <row r="19">
      <c r="A19" s="92" t="n"/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</row>
    <row r="20">
      <c r="A20" s="92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</row>
    <row r="21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</row>
    <row r="2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</row>
    <row r="25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</row>
    <row r="27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</row>
    <row r="28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</row>
    <row r="29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</row>
    <row r="30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4">
    <mergeCell ref="A1:H1"/>
    <mergeCell ref="A3:H3"/>
    <mergeCell ref="A10:H10"/>
    <mergeCell ref="A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38" customWidth="1" min="4" max="4"/>
    <col width="18" customWidth="1" min="5" max="5"/>
    <col width="18" customWidth="1" min="6" max="6"/>
  </cols>
  <sheetData>
    <row r="1" ht="28" customHeight="1">
      <c r="A1" s="17" t="inlineStr">
        <is>
          <t>ENTRADAS DO INVESTIMENTO — JUNDIAÍ</t>
        </is>
      </c>
      <c r="B1" s="1" t="n"/>
      <c r="C1" s="1" t="n"/>
      <c r="D1" s="1" t="n"/>
      <c r="E1" s="1" t="n"/>
      <c r="F1" s="1" t="n"/>
      <c r="G1" s="92" t="n"/>
      <c r="H1" s="92" t="n"/>
      <c r="I1" s="92" t="n"/>
      <c r="J1" s="92" t="n"/>
      <c r="K1" s="92" t="n"/>
      <c r="L1" s="92" t="n"/>
      <c r="M1" s="92" t="n"/>
      <c r="N1" s="92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 ht="22" customHeight="1">
      <c r="A3" s="25" t="inlineStr">
        <is>
          <t>IDENTIFICAÇÃO DO IMÓVEL</t>
        </is>
      </c>
      <c r="B3" s="1" t="n"/>
      <c r="C3" s="1" t="n"/>
      <c r="D3" s="1" t="n"/>
      <c r="E3" s="1" t="n"/>
      <c r="F3" s="1" t="n"/>
      <c r="G3" s="92" t="n"/>
      <c r="H3" s="92" t="n"/>
      <c r="I3" s="92" t="n"/>
      <c r="J3" s="92" t="n"/>
      <c r="K3" s="92" t="n"/>
      <c r="L3" s="92" t="n"/>
      <c r="M3" s="92" t="n"/>
      <c r="N3" s="92" t="n"/>
    </row>
    <row r="4">
      <c r="A4" s="6" t="inlineStr">
        <is>
          <t>Campo</t>
        </is>
      </c>
      <c r="B4" s="6" t="inlineStr">
        <is>
          <t>Valor</t>
        </is>
      </c>
      <c r="C4" s="6" t="inlineStr">
        <is>
          <t>Unidade / opção</t>
        </is>
      </c>
      <c r="D4" s="6" t="inlineStr">
        <is>
          <t>Fonte / evidência</t>
        </is>
      </c>
      <c r="E4" s="6" t="inlineStr">
        <is>
          <t>Data da consulta</t>
        </is>
      </c>
      <c r="F4" s="6" t="inlineStr">
        <is>
          <t>Validado?</t>
        </is>
      </c>
      <c r="G4" s="92" t="n"/>
      <c r="H4" s="92" t="n"/>
      <c r="I4" s="92" t="n"/>
      <c r="J4" s="92" t="n"/>
      <c r="K4" s="92" t="n"/>
      <c r="L4" s="92" t="n"/>
      <c r="M4" s="92" t="n"/>
      <c r="N4" s="92" t="n"/>
    </row>
    <row r="5">
      <c r="A5" s="92" t="inlineStr">
        <is>
          <t>Nome da oportunidade</t>
        </is>
      </c>
      <c r="B5" s="95" t="inlineStr">
        <is>
          <t>Jundiaí - Recanto Quarto Centenário</t>
        </is>
      </c>
      <c r="C5" s="92" t="n"/>
      <c r="D5" s="95" t="inlineStr">
        <is>
          <t>Planilha original</t>
        </is>
      </c>
      <c r="E5" s="131" t="n"/>
      <c r="F5" s="95" t="inlineStr">
        <is>
          <t>Sim</t>
        </is>
      </c>
      <c r="G5" s="92" t="n"/>
      <c r="H5" s="92" t="n"/>
      <c r="I5" s="92" t="n"/>
      <c r="J5" s="92" t="n"/>
      <c r="K5" s="92" t="n"/>
      <c r="L5" s="92" t="n"/>
      <c r="M5" s="92" t="n"/>
      <c r="N5" s="92" t="n"/>
    </row>
    <row r="6">
      <c r="A6" s="92" t="inlineStr">
        <is>
          <t>Endereço / condomínio</t>
        </is>
      </c>
      <c r="B6" s="95" t="inlineStr">
        <is>
          <t>Condomínio Residencial Begônias</t>
        </is>
      </c>
      <c r="C6" s="92" t="n"/>
      <c r="D6" s="95" t="inlineStr">
        <is>
          <t>Matrícula 146.062</t>
        </is>
      </c>
      <c r="E6" s="131" t="n"/>
      <c r="F6" s="95" t="inlineStr">
        <is>
          <t>Sim</t>
        </is>
      </c>
      <c r="G6" s="92" t="n"/>
      <c r="H6" s="92" t="n"/>
      <c r="I6" s="92" t="n"/>
      <c r="J6" s="92" t="n"/>
      <c r="K6" s="92" t="n"/>
      <c r="L6" s="92" t="n"/>
      <c r="M6" s="92" t="n"/>
      <c r="N6" s="92" t="n"/>
    </row>
    <row r="7">
      <c r="A7" s="92" t="inlineStr">
        <is>
          <t>Tipo de leilão</t>
        </is>
      </c>
      <c r="B7" s="95" t="inlineStr">
        <is>
          <t>Extrajudicial - Caixa</t>
        </is>
      </c>
      <c r="C7" s="92" t="n"/>
      <c r="D7" s="95" t="inlineStr">
        <is>
          <t>Edital 0018/0326-CPVE/RE</t>
        </is>
      </c>
      <c r="E7" s="131" t="n"/>
      <c r="F7" s="95" t="inlineStr">
        <is>
          <t>Sim</t>
        </is>
      </c>
      <c r="G7" s="92" t="n"/>
      <c r="H7" s="92" t="n"/>
      <c r="I7" s="92" t="n"/>
      <c r="J7" s="92" t="n"/>
      <c r="K7" s="92" t="n"/>
      <c r="L7" s="92" t="n"/>
      <c r="M7" s="92" t="n"/>
      <c r="N7" s="92" t="n"/>
    </row>
    <row r="8">
      <c r="A8" s="92" t="inlineStr">
        <is>
          <t>Metragem privativa</t>
        </is>
      </c>
      <c r="B8" s="95" t="n">
        <v>50.56</v>
      </c>
      <c r="C8" s="92" t="inlineStr">
        <is>
          <t>m²</t>
        </is>
      </c>
      <c r="D8" s="95" t="inlineStr">
        <is>
          <t>Matrícula 146.062</t>
        </is>
      </c>
      <c r="E8" s="131" t="n"/>
      <c r="F8" s="95" t="inlineStr">
        <is>
          <t>Sim</t>
        </is>
      </c>
      <c r="G8" s="92" t="n"/>
      <c r="H8" s="92" t="n"/>
      <c r="I8" s="92" t="n"/>
      <c r="J8" s="92" t="n"/>
      <c r="K8" s="92" t="n"/>
      <c r="L8" s="92" t="n"/>
      <c r="M8" s="92" t="n"/>
      <c r="N8" s="92" t="n"/>
    </row>
    <row r="9">
      <c r="A9" s="92" t="inlineStr">
        <is>
          <t>Modalidade de pagamento</t>
        </is>
      </c>
      <c r="B9" s="95" t="inlineStr">
        <is>
          <t>À vista</t>
        </is>
      </c>
      <c r="C9" s="92" t="n"/>
      <c r="D9" s="95" t="inlineStr">
        <is>
          <t>Edital</t>
        </is>
      </c>
      <c r="E9" s="131" t="n"/>
      <c r="F9" s="95" t="inlineStr">
        <is>
          <t>Sim</t>
        </is>
      </c>
      <c r="G9" s="92" t="n"/>
      <c r="H9" s="92" t="n"/>
      <c r="I9" s="92" t="n"/>
      <c r="J9" s="92" t="n"/>
      <c r="K9" s="92" t="n"/>
      <c r="L9" s="92" t="n"/>
      <c r="M9" s="92" t="n"/>
      <c r="N9" s="92" t="n"/>
    </row>
    <row r="10">
      <c r="A10" s="92" t="inlineStr">
        <is>
          <t>Cenário selecionado</t>
        </is>
      </c>
      <c r="B10" s="95" t="inlineStr">
        <is>
          <t>Base</t>
        </is>
      </c>
      <c r="C10" s="92" t="n"/>
      <c r="D10" s="95" t="inlineStr">
        <is>
          <t>Escolha do investidor</t>
        </is>
      </c>
      <c r="E10" s="131" t="n"/>
      <c r="F10" s="95" t="inlineStr">
        <is>
          <t>Sim</t>
        </is>
      </c>
      <c r="G10" s="92" t="n"/>
      <c r="H10" s="92" t="n"/>
      <c r="I10" s="92" t="n"/>
      <c r="J10" s="92" t="n"/>
      <c r="K10" s="92" t="n"/>
      <c r="L10" s="92" t="n"/>
      <c r="M10" s="92" t="n"/>
      <c r="N10" s="92" t="n"/>
    </row>
    <row r="11">
      <c r="A11" s="92" t="n"/>
      <c r="B11" s="92" t="str"/>
      <c r="C11" s="92" t="n"/>
      <c r="D11" s="92" t="n"/>
      <c r="E11" s="13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</row>
    <row r="12" ht="22" customHeight="1">
      <c r="A12" s="25" t="inlineStr">
        <is>
          <t>PREMISSAS FINANCEIRAS</t>
        </is>
      </c>
      <c r="B12" s="1" t="n"/>
      <c r="C12" s="1" t="n"/>
      <c r="D12" s="1" t="n"/>
      <c r="E12" s="1" t="n"/>
      <c r="F12" s="1" t="n"/>
      <c r="G12" s="92" t="n"/>
      <c r="H12" s="92" t="n"/>
      <c r="I12" s="92" t="n"/>
      <c r="J12" s="92" t="n"/>
      <c r="K12" s="92" t="n"/>
      <c r="L12" s="92" t="n"/>
      <c r="M12" s="92" t="n"/>
      <c r="N12" s="92" t="n"/>
    </row>
    <row r="13">
      <c r="A13" s="6" t="inlineStr">
        <is>
          <t>Premissa</t>
        </is>
      </c>
      <c r="B13" s="6" t="inlineStr">
        <is>
          <t>Valor</t>
        </is>
      </c>
      <c r="C13" s="6" t="inlineStr">
        <is>
          <t>Unidade</t>
        </is>
      </c>
      <c r="D13" s="6" t="inlineStr">
        <is>
          <t>Fonte / observação</t>
        </is>
      </c>
      <c r="E13" s="133" t="inlineStr">
        <is>
          <t>Data</t>
        </is>
      </c>
      <c r="F13" s="6" t="inlineStr">
        <is>
          <t>Validado?</t>
        </is>
      </c>
      <c r="G13" s="92" t="n"/>
      <c r="H13" s="92" t="n"/>
      <c r="I13" s="92" t="n"/>
      <c r="J13" s="92" t="n"/>
      <c r="K13" s="92" t="n"/>
      <c r="L13" s="92" t="n"/>
      <c r="M13" s="92" t="n"/>
      <c r="N13" s="92" t="n"/>
    </row>
    <row r="14">
      <c r="A14" s="92" t="inlineStr">
        <is>
          <t>Valor da arrematação</t>
        </is>
      </c>
      <c r="B14" s="134" t="n">
        <v>163056.69</v>
      </c>
      <c r="C14" s="92" t="inlineStr">
        <is>
          <t>R$</t>
        </is>
      </c>
      <c r="D14" s="95" t="inlineStr">
        <is>
          <t>Edital / proposta</t>
        </is>
      </c>
      <c r="E14" s="131" t="n"/>
      <c r="F14" s="95" t="inlineStr">
        <is>
          <t>Sim</t>
        </is>
      </c>
      <c r="G14" s="92" t="n"/>
      <c r="H14" s="92" t="n"/>
      <c r="I14" s="92" t="n"/>
      <c r="J14" s="92" t="n"/>
      <c r="K14" s="92" t="n"/>
      <c r="L14" s="92" t="n"/>
      <c r="M14" s="92" t="n"/>
      <c r="N14" s="92" t="n"/>
    </row>
    <row r="15">
      <c r="A15" s="92" t="inlineStr">
        <is>
          <t>Comissão do leiloeiro</t>
        </is>
      </c>
      <c r="B15" s="135" t="n">
        <v>0.05</v>
      </c>
      <c r="C15" s="92" t="inlineStr">
        <is>
          <t>% do lance</t>
        </is>
      </c>
      <c r="D15" s="95" t="inlineStr">
        <is>
          <t>Edital</t>
        </is>
      </c>
      <c r="E15" s="131" t="n"/>
      <c r="F15" s="95" t="inlineStr">
        <is>
          <t>Sim</t>
        </is>
      </c>
      <c r="G15" s="92" t="n"/>
      <c r="H15" s="92" t="n"/>
      <c r="I15" s="92" t="n"/>
      <c r="J15" s="92" t="n"/>
      <c r="K15" s="92" t="n"/>
      <c r="L15" s="92" t="n"/>
      <c r="M15" s="92" t="n"/>
      <c r="N15" s="92" t="n"/>
    </row>
    <row r="16">
      <c r="A16" s="92" t="inlineStr">
        <is>
          <t>ITBI</t>
        </is>
      </c>
      <c r="B16" s="135" t="n">
        <v>0.03</v>
      </c>
      <c r="C16" s="92" t="inlineStr">
        <is>
          <t>% do lance</t>
        </is>
      </c>
      <c r="D16" s="95" t="inlineStr">
        <is>
          <t>Estimativa municipal; confirmar</t>
        </is>
      </c>
      <c r="E16" s="131" t="n"/>
      <c r="F16" s="95" t="inlineStr">
        <is>
          <t>A confirmar</t>
        </is>
      </c>
      <c r="G16" s="92" t="n"/>
      <c r="H16" s="92" t="n"/>
      <c r="I16" s="92" t="n"/>
      <c r="J16" s="92" t="n"/>
      <c r="K16" s="92" t="n"/>
      <c r="L16" s="92" t="n"/>
      <c r="M16" s="92" t="n"/>
      <c r="N16" s="92" t="n"/>
    </row>
    <row r="17">
      <c r="A17" s="92" t="inlineStr">
        <is>
          <t>Registro e escritura</t>
        </is>
      </c>
      <c r="B17" s="134" t="n">
        <v>3800</v>
      </c>
      <c r="C17" s="92" t="inlineStr">
        <is>
          <t>R$</t>
        </is>
      </c>
      <c r="D17" s="95" t="inlineStr">
        <is>
          <t>Estimativa; confirmar cartório</t>
        </is>
      </c>
      <c r="E17" s="131" t="n"/>
      <c r="F17" s="95" t="inlineStr">
        <is>
          <t>A confirmar</t>
        </is>
      </c>
      <c r="G17" s="92" t="n"/>
      <c r="H17" s="92" t="n"/>
      <c r="I17" s="92" t="n"/>
      <c r="J17" s="92" t="n"/>
      <c r="K17" s="92" t="n"/>
      <c r="L17" s="92" t="n"/>
      <c r="M17" s="92" t="n"/>
      <c r="N17" s="92" t="n"/>
    </row>
    <row r="18">
      <c r="A18" s="92" t="inlineStr">
        <is>
          <t>Honorários jurídicos</t>
        </is>
      </c>
      <c r="B18" s="134" t="n">
        <v>5000</v>
      </c>
      <c r="C18" s="92" t="inlineStr">
        <is>
          <t>R$</t>
        </is>
      </c>
      <c r="D18" s="95" t="inlineStr">
        <is>
          <t>Reserva para posse/desocupação</t>
        </is>
      </c>
      <c r="E18" s="131" t="n"/>
      <c r="F18" s="95" t="inlineStr">
        <is>
          <t>A confirmar</t>
        </is>
      </c>
      <c r="G18" s="92" t="n"/>
      <c r="H18" s="92" t="n"/>
      <c r="I18" s="92" t="n"/>
      <c r="J18" s="92" t="n"/>
      <c r="K18" s="92" t="n"/>
      <c r="L18" s="92" t="n"/>
      <c r="M18" s="92" t="n"/>
      <c r="N18" s="92" t="n"/>
    </row>
    <row r="19">
      <c r="A19" s="92" t="inlineStr">
        <is>
          <t>Reserva para certidões/documentos</t>
        </is>
      </c>
      <c r="B19" s="134" t="n">
        <v>1500</v>
      </c>
      <c r="C19" s="92" t="inlineStr">
        <is>
          <t>R$</t>
        </is>
      </c>
      <c r="D19" s="95" t="inlineStr">
        <is>
          <t>Estimativa</t>
        </is>
      </c>
      <c r="E19" s="131" t="n"/>
      <c r="F19" s="95" t="inlineStr">
        <is>
          <t>A confirmar</t>
        </is>
      </c>
      <c r="G19" s="92" t="n"/>
      <c r="H19" s="92" t="n"/>
      <c r="I19" s="92" t="n"/>
      <c r="J19" s="92" t="n"/>
      <c r="K19" s="92" t="n"/>
      <c r="L19" s="92" t="n"/>
      <c r="M19" s="92" t="n"/>
      <c r="N19" s="92" t="n"/>
    </row>
    <row r="20">
      <c r="A20" s="92" t="inlineStr">
        <is>
          <t>Condomínio mensal</t>
        </is>
      </c>
      <c r="B20" s="134" t="n">
        <v>350</v>
      </c>
      <c r="C20" s="92" t="inlineStr">
        <is>
          <t>R$/mês</t>
        </is>
      </c>
      <c r="D20" s="95" t="inlineStr">
        <is>
          <t>Planilha original</t>
        </is>
      </c>
      <c r="E20" s="131" t="n"/>
      <c r="F20" s="95" t="inlineStr">
        <is>
          <t>A confirmar</t>
        </is>
      </c>
      <c r="G20" s="92" t="n"/>
      <c r="H20" s="92" t="n"/>
      <c r="I20" s="92" t="n"/>
      <c r="J20" s="92" t="n"/>
      <c r="K20" s="92" t="n"/>
      <c r="L20" s="92" t="n"/>
      <c r="M20" s="92" t="n"/>
      <c r="N20" s="92" t="n"/>
    </row>
    <row r="21">
      <c r="A21" s="92" t="inlineStr">
        <is>
          <t>IPTU mensal</t>
        </is>
      </c>
      <c r="B21" s="134" t="n">
        <v>80</v>
      </c>
      <c r="C21" s="92" t="inlineStr">
        <is>
          <t>R$/mês</t>
        </is>
      </c>
      <c r="D21" s="95" t="inlineStr">
        <is>
          <t>Planilha original</t>
        </is>
      </c>
      <c r="E21" s="131" t="n"/>
      <c r="F21" s="95" t="inlineStr">
        <is>
          <t>A confirmar</t>
        </is>
      </c>
      <c r="G21" s="92" t="n"/>
      <c r="H21" s="92" t="n"/>
      <c r="I21" s="92" t="n"/>
      <c r="J21" s="92" t="n"/>
      <c r="K21" s="92" t="n"/>
      <c r="L21" s="92" t="n"/>
      <c r="M21" s="92" t="n"/>
      <c r="N21" s="92" t="n"/>
    </row>
    <row r="22">
      <c r="A22" s="92" t="inlineStr">
        <is>
          <t>Seguro/manutenção mensal</t>
        </is>
      </c>
      <c r="B22" s="134" t="n">
        <v>100</v>
      </c>
      <c r="C22" s="92" t="inlineStr">
        <is>
          <t>R$/mês</t>
        </is>
      </c>
      <c r="D22" s="95" t="inlineStr">
        <is>
          <t>Estimativa</t>
        </is>
      </c>
      <c r="E22" s="131" t="n"/>
      <c r="F22" s="95" t="inlineStr">
        <is>
          <t>A confirmar</t>
        </is>
      </c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inlineStr">
        <is>
          <t>Prazo até posse</t>
        </is>
      </c>
      <c r="B23" s="134" t="n">
        <v>4</v>
      </c>
      <c r="C23" s="92" t="inlineStr">
        <is>
          <t>meses</t>
        </is>
      </c>
      <c r="D23" s="95" t="inlineStr">
        <is>
          <t>Cenário-base</t>
        </is>
      </c>
      <c r="E23" s="131" t="n"/>
      <c r="F23" s="95" t="inlineStr">
        <is>
          <t>A confirmar</t>
        </is>
      </c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>
      <c r="A24" s="92" t="inlineStr">
        <is>
          <t>Prazo de reforma</t>
        </is>
      </c>
      <c r="B24" s="95" t="n">
        <v>2</v>
      </c>
      <c r="C24" s="92" t="inlineStr">
        <is>
          <t>meses</t>
        </is>
      </c>
      <c r="D24" s="95" t="inlineStr">
        <is>
          <t>Estimativa</t>
        </is>
      </c>
      <c r="E24" s="131" t="n"/>
      <c r="F24" s="95" t="inlineStr">
        <is>
          <t>A confirmar</t>
        </is>
      </c>
      <c r="G24" s="92" t="n"/>
      <c r="H24" s="92" t="n"/>
      <c r="I24" s="92" t="n"/>
      <c r="J24" s="92" t="n"/>
      <c r="K24" s="92" t="n"/>
      <c r="L24" s="92" t="n"/>
      <c r="M24" s="92" t="n"/>
      <c r="N24" s="92" t="n"/>
    </row>
    <row r="25">
      <c r="A25" s="92" t="inlineStr">
        <is>
          <t>Prazo de venda após reforma</t>
        </is>
      </c>
      <c r="B25" s="95" t="n">
        <v>6</v>
      </c>
      <c r="C25" s="92" t="inlineStr">
        <is>
          <t>meses</t>
        </is>
      </c>
      <c r="D25" s="95" t="inlineStr">
        <is>
          <t>Estimativa</t>
        </is>
      </c>
      <c r="E25" s="131" t="n"/>
      <c r="F25" s="95" t="inlineStr">
        <is>
          <t>A confirmar</t>
        </is>
      </c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>
      <c r="A26" s="92" t="inlineStr">
        <is>
          <t>Comissão de corretagem</t>
        </is>
      </c>
      <c r="B26" s="95" t="n">
        <v>0.05</v>
      </c>
      <c r="C26" s="92" t="inlineStr">
        <is>
          <t>% da venda</t>
        </is>
      </c>
      <c r="D26" s="95" t="inlineStr">
        <is>
          <t>Premissa</t>
        </is>
      </c>
      <c r="E26" s="131" t="n"/>
      <c r="F26" s="95" t="inlineStr">
        <is>
          <t>Sim</t>
        </is>
      </c>
      <c r="G26" s="92" t="n"/>
      <c r="H26" s="92" t="n"/>
      <c r="I26" s="92" t="n"/>
      <c r="J26" s="92" t="n"/>
      <c r="K26" s="92" t="n"/>
      <c r="L26" s="92" t="n"/>
      <c r="M26" s="92" t="n"/>
      <c r="N26" s="92" t="n"/>
    </row>
    <row r="27">
      <c r="A27" s="92" t="inlineStr">
        <is>
          <t>Desconto comercial na venda</t>
        </is>
      </c>
      <c r="B27" s="135" t="n">
        <v>0.03</v>
      </c>
      <c r="C27" s="92" t="inlineStr">
        <is>
          <t>% do valor anunciado</t>
        </is>
      </c>
      <c r="D27" s="95" t="inlineStr">
        <is>
          <t>Premissa conservadora</t>
        </is>
      </c>
      <c r="E27" s="131" t="n"/>
      <c r="F27" s="95" t="inlineStr">
        <is>
          <t>A confirmar</t>
        </is>
      </c>
      <c r="G27" s="92" t="n"/>
      <c r="H27" s="92" t="n"/>
      <c r="I27" s="92" t="n"/>
      <c r="J27" s="92" t="n"/>
      <c r="K27" s="92" t="n"/>
      <c r="L27" s="92" t="n"/>
      <c r="M27" s="92" t="n"/>
      <c r="N27" s="92" t="n"/>
    </row>
    <row r="28">
      <c r="A28" s="92" t="inlineStr">
        <is>
          <t>Imposto estimado sobre ganho</t>
        </is>
      </c>
      <c r="B28" s="135" t="n">
        <v>0.15</v>
      </c>
      <c r="C28" s="92" t="inlineStr">
        <is>
          <t>% do ganho tributável</t>
        </is>
      </c>
      <c r="D28" s="95" t="inlineStr">
        <is>
          <t>Estimativa; validar com contador</t>
        </is>
      </c>
      <c r="E28" s="131" t="n"/>
      <c r="F28" s="95" t="inlineStr">
        <is>
          <t>A confirmar</t>
        </is>
      </c>
      <c r="G28" s="92" t="n"/>
      <c r="H28" s="92" t="n"/>
      <c r="I28" s="92" t="n"/>
      <c r="J28" s="92" t="n"/>
      <c r="K28" s="92" t="n"/>
      <c r="L28" s="92" t="n"/>
      <c r="M28" s="92" t="n"/>
      <c r="N28" s="92" t="n"/>
    </row>
    <row r="29">
      <c r="A29" s="92" t="inlineStr">
        <is>
          <t>Taxa mínima de atratividade</t>
        </is>
      </c>
      <c r="B29" s="135" t="n">
        <v>0.12</v>
      </c>
      <c r="C29" s="92" t="inlineStr">
        <is>
          <t>% a.a.</t>
        </is>
      </c>
      <c r="D29" s="95" t="inlineStr">
        <is>
          <t>Comparação com alternativa de investimento</t>
        </is>
      </c>
      <c r="E29" s="131" t="n"/>
      <c r="F29" s="95" t="inlineStr">
        <is>
          <t>A confirmar</t>
        </is>
      </c>
      <c r="G29" s="92" t="n"/>
      <c r="H29" s="92" t="n"/>
      <c r="I29" s="92" t="n"/>
      <c r="J29" s="92" t="n"/>
      <c r="K29" s="92" t="n"/>
      <c r="L29" s="92" t="n"/>
      <c r="M29" s="92" t="n"/>
      <c r="N29" s="92" t="n"/>
    </row>
    <row r="30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3">
    <mergeCell ref="A3:F3"/>
    <mergeCell ref="A1:F1"/>
    <mergeCell ref="A12:F12"/>
  </mergeCells>
  <dataValidations count="2">
    <dataValidation sqref="F5:F29" showDropDown="0" showInputMessage="0" showErrorMessage="0" allowBlank="0" type="list">
      <formula1>Listas!$G$2:$G$4</formula1>
    </dataValidation>
    <dataValidation sqref="B10" showDropDown="0" showInputMessage="0" showErrorMessage="0" allowBlank="0" type="list">
      <formula1>Listas!$H$2:$H$4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5" customWidth="1" min="9" max="9"/>
    <col width="35" customWidth="1" min="10" max="10"/>
  </cols>
  <sheetData>
    <row r="1" ht="28" customHeight="1">
      <c r="A1" s="17" t="inlineStr">
        <is>
          <t>DILIGÊNCIA E BLOQUEIOS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92" t="n"/>
      <c r="L1" s="92" t="n"/>
      <c r="M1" s="92" t="n"/>
      <c r="N1" s="92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>
      <c r="A3" s="6" t="inlineStr">
        <is>
          <t>#</t>
        </is>
      </c>
      <c r="B3" s="6" t="inlineStr">
        <is>
          <t>Categoria</t>
        </is>
      </c>
      <c r="C3" s="6" t="inlineStr">
        <is>
          <t>Verificação</t>
        </is>
      </c>
      <c r="D3" s="6" t="inlineStr">
        <is>
          <t>Criticidade</t>
        </is>
      </c>
      <c r="E3" s="6" t="inlineStr">
        <is>
          <t>Status</t>
        </is>
      </c>
      <c r="F3" s="6" t="inlineStr">
        <is>
          <t>Bloqueia lance?</t>
        </is>
      </c>
      <c r="G3" s="6" t="inlineStr">
        <is>
          <t>Responsável</t>
        </is>
      </c>
      <c r="H3" s="6" t="inlineStr">
        <is>
          <t>Data</t>
        </is>
      </c>
      <c r="I3" s="6" t="inlineStr">
        <is>
          <t>Evidência / fonte</t>
        </is>
      </c>
      <c r="J3" s="6" t="inlineStr">
        <is>
          <t>Impacto / observação</t>
        </is>
      </c>
      <c r="K3" s="92" t="n"/>
      <c r="L3" s="92" t="n"/>
      <c r="M3" s="92" t="n"/>
      <c r="N3" s="92" t="n"/>
    </row>
    <row r="4">
      <c r="A4" s="92" t="n">
        <v>1</v>
      </c>
      <c r="B4" s="92" t="inlineStr">
        <is>
          <t>Edital</t>
        </is>
      </c>
      <c r="C4" s="92" t="inlineStr">
        <is>
          <t>Ler integralmente edital e anexos</t>
        </is>
      </c>
      <c r="D4" s="92" t="inlineStr">
        <is>
          <t>Crítico</t>
        </is>
      </c>
      <c r="E4" s="95" t="inlineStr">
        <is>
          <t>OK</t>
        </is>
      </c>
      <c r="F4" s="95" t="inlineStr">
        <is>
          <t>Sim</t>
        </is>
      </c>
      <c r="G4" s="95" t="str"/>
      <c r="H4" s="131" t="str"/>
      <c r="I4" s="95" t="inlineStr">
        <is>
          <t>Edital 0018/0326-CPVE/RE</t>
        </is>
      </c>
      <c r="J4" s="95" t="inlineStr">
        <is>
          <t>Venda AS-IS; pagamento à vista</t>
        </is>
      </c>
      <c r="K4" s="92" t="n"/>
      <c r="L4" s="92" t="n"/>
      <c r="M4" s="92" t="n"/>
      <c r="N4" s="92" t="n"/>
    </row>
    <row r="5">
      <c r="A5" s="92" t="n">
        <v>2</v>
      </c>
      <c r="B5" s="92" t="inlineStr">
        <is>
          <t>Edital</t>
        </is>
      </c>
      <c r="C5" s="92" t="inlineStr">
        <is>
          <t>Confirmar desistência, multa e perda de valores</t>
        </is>
      </c>
      <c r="D5" s="92" t="inlineStr">
        <is>
          <t>Crítico</t>
        </is>
      </c>
      <c r="E5" s="95" t="inlineStr">
        <is>
          <t>Pendente</t>
        </is>
      </c>
      <c r="F5" s="95" t="inlineStr">
        <is>
          <t>Sim</t>
        </is>
      </c>
      <c r="G5" s="95" t="str"/>
      <c r="H5" s="131" t="str"/>
      <c r="I5" s="95" t="str"/>
      <c r="J5" s="95" t="str"/>
      <c r="K5" s="92" t="n"/>
      <c r="L5" s="92" t="n"/>
      <c r="M5" s="92" t="n"/>
      <c r="N5" s="92" t="n"/>
    </row>
    <row r="6">
      <c r="A6" s="92" t="n">
        <v>3</v>
      </c>
      <c r="B6" s="92" t="inlineStr">
        <is>
          <t>Matrícula</t>
        </is>
      </c>
      <c r="C6" s="92" t="inlineStr">
        <is>
          <t>Obter matrícula atualizada há menos de 30 dias</t>
        </is>
      </c>
      <c r="D6" s="92" t="inlineStr">
        <is>
          <t>Crítico</t>
        </is>
      </c>
      <c r="E6" s="95" t="inlineStr">
        <is>
          <t>OK</t>
        </is>
      </c>
      <c r="F6" s="95" t="inlineStr">
        <is>
          <t>Sim</t>
        </is>
      </c>
      <c r="G6" s="95" t="str"/>
      <c r="H6" s="131" t="str"/>
      <c r="I6" s="95" t="inlineStr">
        <is>
          <t>Matrícula 146.062</t>
        </is>
      </c>
      <c r="J6" s="95" t="str"/>
      <c r="K6" s="92" t="n"/>
      <c r="L6" s="92" t="n"/>
      <c r="M6" s="92" t="n"/>
      <c r="N6" s="92" t="n"/>
    </row>
    <row r="7">
      <c r="A7" s="92" t="n">
        <v>4</v>
      </c>
      <c r="B7" s="92" t="inlineStr">
        <is>
          <t>Matrícula</t>
        </is>
      </c>
      <c r="C7" s="92" t="inlineStr">
        <is>
          <t>Validar penhora e procedimento de baixa</t>
        </is>
      </c>
      <c r="D7" s="92" t="inlineStr">
        <is>
          <t>Crítico</t>
        </is>
      </c>
      <c r="E7" s="95" t="inlineStr">
        <is>
          <t>Problema</t>
        </is>
      </c>
      <c r="F7" s="95" t="inlineStr">
        <is>
          <t>Sim</t>
        </is>
      </c>
      <c r="G7" s="95" t="str"/>
      <c r="H7" s="131" t="str"/>
      <c r="I7" s="95" t="inlineStr">
        <is>
          <t>Av.07/2022</t>
        </is>
      </c>
      <c r="J7" s="95" t="inlineStr">
        <is>
          <t>Penhora condominial sem cancelamento identificado</t>
        </is>
      </c>
      <c r="K7" s="92" t="n"/>
      <c r="L7" s="92" t="n"/>
      <c r="M7" s="92" t="n"/>
      <c r="N7" s="92" t="n"/>
    </row>
    <row r="8">
      <c r="A8" s="92" t="n">
        <v>5</v>
      </c>
      <c r="B8" s="92" t="inlineStr">
        <is>
          <t>Matrícula</t>
        </is>
      </c>
      <c r="C8" s="92" t="inlineStr">
        <is>
          <t>Verificar restrições MCMV ou outras</t>
        </is>
      </c>
      <c r="D8" s="92" t="inlineStr">
        <is>
          <t>Importante</t>
        </is>
      </c>
      <c r="E8" s="95" t="inlineStr">
        <is>
          <t>Pendente</t>
        </is>
      </c>
      <c r="F8" s="95" t="inlineStr">
        <is>
          <t>Não</t>
        </is>
      </c>
      <c r="G8" s="95" t="str"/>
      <c r="H8" s="131" t="str"/>
      <c r="I8" s="95" t="str"/>
      <c r="J8" s="95" t="str"/>
      <c r="K8" s="92" t="n"/>
      <c r="L8" s="92" t="n"/>
      <c r="M8" s="92" t="n"/>
      <c r="N8" s="92" t="n"/>
    </row>
    <row r="9">
      <c r="A9" s="92" t="n">
        <v>6</v>
      </c>
      <c r="B9" s="92" t="inlineStr">
        <is>
          <t>Certidões</t>
        </is>
      </c>
      <c r="C9" s="92" t="inlineStr">
        <is>
          <t>Ações reais/reipersecutórias</t>
        </is>
      </c>
      <c r="D9" s="92" t="inlineStr">
        <is>
          <t>Importante</t>
        </is>
      </c>
      <c r="E9" s="95" t="inlineStr">
        <is>
          <t>Pendente</t>
        </is>
      </c>
      <c r="F9" s="95" t="inlineStr">
        <is>
          <t>Não</t>
        </is>
      </c>
      <c r="G9" s="95" t="str"/>
      <c r="H9" s="131" t="str"/>
      <c r="I9" s="95" t="str"/>
      <c r="J9" s="95" t="str"/>
      <c r="K9" s="92" t="n"/>
      <c r="L9" s="92" t="n"/>
      <c r="M9" s="92" t="n"/>
      <c r="N9" s="92" t="n"/>
    </row>
    <row r="10">
      <c r="A10" s="92" t="n">
        <v>7</v>
      </c>
      <c r="B10" s="92" t="inlineStr">
        <is>
          <t>Ocupação</t>
        </is>
      </c>
      <c r="C10" s="92" t="inlineStr">
        <is>
          <t>Confirmar se está ocupado</t>
        </is>
      </c>
      <c r="D10" s="92" t="inlineStr">
        <is>
          <t>Crítico</t>
        </is>
      </c>
      <c r="E10" s="95" t="inlineStr">
        <is>
          <t>Pendente</t>
        </is>
      </c>
      <c r="F10" s="95" t="inlineStr">
        <is>
          <t>Sim</t>
        </is>
      </c>
      <c r="G10" s="95" t="str"/>
      <c r="H10" s="131" t="str"/>
      <c r="I10" s="95" t="str"/>
      <c r="J10" s="95" t="str"/>
      <c r="K10" s="92" t="n"/>
      <c r="L10" s="92" t="n"/>
      <c r="M10" s="92" t="n"/>
      <c r="N10" s="92" t="n"/>
    </row>
    <row r="11">
      <c r="A11" s="92" t="n">
        <v>8</v>
      </c>
      <c r="B11" s="92" t="inlineStr">
        <is>
          <t>Ocupação</t>
        </is>
      </c>
      <c r="C11" s="92" t="inlineStr">
        <is>
          <t>Identificar ocupante e vínculo</t>
        </is>
      </c>
      <c r="D11" s="92" t="inlineStr">
        <is>
          <t>Crítico</t>
        </is>
      </c>
      <c r="E11" s="95" t="inlineStr">
        <is>
          <t>Pendente</t>
        </is>
      </c>
      <c r="F11" s="95" t="inlineStr">
        <is>
          <t>Sim</t>
        </is>
      </c>
      <c r="G11" s="95" t="str"/>
      <c r="H11" s="131" t="str"/>
      <c r="I11" s="95" t="str"/>
      <c r="J11" s="95" t="str"/>
      <c r="K11" s="92" t="n"/>
      <c r="L11" s="92" t="n"/>
      <c r="M11" s="92" t="n"/>
      <c r="N11" s="92" t="n"/>
    </row>
    <row r="12">
      <c r="A12" s="92" t="n">
        <v>9</v>
      </c>
      <c r="B12" s="92" t="inlineStr">
        <is>
          <t>Ocupação</t>
        </is>
      </c>
      <c r="C12" s="92" t="inlineStr">
        <is>
          <t>Estimar prazo e custo da posse</t>
        </is>
      </c>
      <c r="D12" s="92" t="inlineStr">
        <is>
          <t>Importante</t>
        </is>
      </c>
      <c r="E12" s="95" t="inlineStr">
        <is>
          <t>Pendente</t>
        </is>
      </c>
      <c r="F12" s="95" t="inlineStr">
        <is>
          <t>Não</t>
        </is>
      </c>
      <c r="G12" s="95" t="str"/>
      <c r="H12" s="131" t="str"/>
      <c r="I12" s="95" t="str"/>
      <c r="J12" s="95" t="str"/>
      <c r="K12" s="92" t="n"/>
      <c r="L12" s="92" t="n"/>
      <c r="M12" s="92" t="n"/>
      <c r="N12" s="92" t="n"/>
    </row>
    <row r="13">
      <c r="A13" s="92" t="n">
        <v>10</v>
      </c>
      <c r="B13" s="92" t="inlineStr">
        <is>
          <t>Débitos</t>
        </is>
      </c>
      <c r="C13" s="92" t="inlineStr">
        <is>
          <t>Obter saldo atualizado do condomínio</t>
        </is>
      </c>
      <c r="D13" s="92" t="inlineStr">
        <is>
          <t>Crítico</t>
        </is>
      </c>
      <c r="E13" s="95" t="inlineStr">
        <is>
          <t>Problema</t>
        </is>
      </c>
      <c r="F13" s="95" t="inlineStr">
        <is>
          <t>Sim</t>
        </is>
      </c>
      <c r="G13" s="95" t="str"/>
      <c r="H13" s="131" t="str"/>
      <c r="I13" s="95" t="str"/>
      <c r="J13" s="95" t="inlineStr">
        <is>
          <t>Penhora indica dívida</t>
        </is>
      </c>
      <c r="K13" s="92" t="n"/>
      <c r="L13" s="92" t="n"/>
      <c r="M13" s="92" t="n"/>
      <c r="N13" s="92" t="n"/>
    </row>
    <row r="14">
      <c r="A14" s="92" t="n">
        <v>11</v>
      </c>
      <c r="B14" s="92" t="inlineStr">
        <is>
          <t>Débitos</t>
        </is>
      </c>
      <c r="C14" s="92" t="inlineStr">
        <is>
          <t>Obter certidão de IPTU</t>
        </is>
      </c>
      <c r="D14" s="92" t="inlineStr">
        <is>
          <t>Crítico</t>
        </is>
      </c>
      <c r="E14" s="95" t="inlineStr">
        <is>
          <t>Pendente</t>
        </is>
      </c>
      <c r="F14" s="95" t="inlineStr">
        <is>
          <t>Sim</t>
        </is>
      </c>
      <c r="G14" s="95" t="str"/>
      <c r="H14" s="131" t="str"/>
      <c r="I14" s="95" t="str"/>
      <c r="J14" s="95" t="str"/>
      <c r="K14" s="92" t="n"/>
      <c r="L14" s="92" t="n"/>
      <c r="M14" s="92" t="n"/>
      <c r="N14" s="92" t="n"/>
    </row>
    <row r="15">
      <c r="A15" s="92" t="n">
        <v>12</v>
      </c>
      <c r="B15" s="92" t="inlineStr">
        <is>
          <t>Débitos</t>
        </is>
      </c>
      <c r="C15" s="92" t="inlineStr">
        <is>
          <t>Confirmar responsabilidade por cada débito</t>
        </is>
      </c>
      <c r="D15" s="92" t="inlineStr">
        <is>
          <t>Crítico</t>
        </is>
      </c>
      <c r="E15" s="95" t="inlineStr">
        <is>
          <t>OK</t>
        </is>
      </c>
      <c r="F15" s="95" t="inlineStr">
        <is>
          <t>Sim</t>
        </is>
      </c>
      <c r="G15" s="95" t="str"/>
      <c r="H15" s="131" t="str"/>
      <c r="I15" s="95" t="inlineStr">
        <is>
          <t>Edital</t>
        </is>
      </c>
      <c r="J15" s="95" t="inlineStr">
        <is>
          <t>Comprador até limite previsto</t>
        </is>
      </c>
      <c r="K15" s="92" t="n"/>
      <c r="L15" s="92" t="n"/>
      <c r="M15" s="92" t="n"/>
      <c r="N15" s="92" t="n"/>
    </row>
    <row r="16">
      <c r="A16" s="92" t="n">
        <v>13</v>
      </c>
      <c r="B16" s="92" t="inlineStr">
        <is>
          <t>Físico</t>
        </is>
      </c>
      <c r="C16" s="92" t="inlineStr">
        <is>
          <t>Realizar visita ou inspeção técnica</t>
        </is>
      </c>
      <c r="D16" s="92" t="inlineStr">
        <is>
          <t>Crítico</t>
        </is>
      </c>
      <c r="E16" s="95" t="inlineStr">
        <is>
          <t>Pendente</t>
        </is>
      </c>
      <c r="F16" s="95" t="inlineStr">
        <is>
          <t>Sim</t>
        </is>
      </c>
      <c r="G16" s="95" t="str"/>
      <c r="H16" s="131" t="str"/>
      <c r="I16" s="95" t="str"/>
      <c r="J16" s="95" t="str"/>
      <c r="K16" s="92" t="n"/>
      <c r="L16" s="92" t="n"/>
      <c r="M16" s="92" t="n"/>
      <c r="N16" s="92" t="n"/>
    </row>
    <row r="17">
      <c r="A17" s="92" t="n">
        <v>14</v>
      </c>
      <c r="B17" s="92" t="inlineStr">
        <is>
          <t>Físico</t>
        </is>
      </c>
      <c r="C17" s="92" t="inlineStr">
        <is>
          <t>Orçar reforma em três cenários</t>
        </is>
      </c>
      <c r="D17" s="92" t="inlineStr">
        <is>
          <t>Importante</t>
        </is>
      </c>
      <c r="E17" s="95" t="inlineStr">
        <is>
          <t>Pendente</t>
        </is>
      </c>
      <c r="F17" s="95" t="inlineStr">
        <is>
          <t>Não</t>
        </is>
      </c>
      <c r="G17" s="95" t="str"/>
      <c r="H17" s="131" t="str"/>
      <c r="I17" s="95" t="str"/>
      <c r="J17" s="95" t="str"/>
      <c r="K17" s="92" t="n"/>
      <c r="L17" s="92" t="n"/>
      <c r="M17" s="92" t="n"/>
      <c r="N17" s="92" t="n"/>
    </row>
    <row r="18">
      <c r="A18" s="92" t="n">
        <v>15</v>
      </c>
      <c r="B18" s="92" t="inlineStr">
        <is>
          <t>Mercado</t>
        </is>
      </c>
      <c r="C18" s="92" t="inlineStr">
        <is>
          <t>Validar preço com pelo menos 5 comparáveis</t>
        </is>
      </c>
      <c r="D18" s="92" t="inlineStr">
        <is>
          <t>Crítico</t>
        </is>
      </c>
      <c r="E18" s="95" t="inlineStr">
        <is>
          <t>Pendente</t>
        </is>
      </c>
      <c r="F18" s="95" t="inlineStr">
        <is>
          <t>Sim</t>
        </is>
      </c>
      <c r="G18" s="95" t="str"/>
      <c r="H18" s="131" t="str"/>
      <c r="I18" s="95" t="str"/>
      <c r="J18" s="95" t="str"/>
      <c r="K18" s="92" t="n"/>
      <c r="L18" s="92" t="n"/>
      <c r="M18" s="92" t="n"/>
      <c r="N18" s="92" t="n"/>
    </row>
    <row r="19">
      <c r="A19" s="92" t="n">
        <v>16</v>
      </c>
      <c r="B19" s="92" t="inlineStr">
        <is>
          <t>Mercado</t>
        </is>
      </c>
      <c r="C19" s="92" t="inlineStr">
        <is>
          <t>Validar liquidez e prazo médio de venda</t>
        </is>
      </c>
      <c r="D19" s="92" t="inlineStr">
        <is>
          <t>Importante</t>
        </is>
      </c>
      <c r="E19" s="95" t="inlineStr">
        <is>
          <t>Pendente</t>
        </is>
      </c>
      <c r="F19" s="95" t="inlineStr">
        <is>
          <t>Não</t>
        </is>
      </c>
      <c r="G19" s="95" t="str"/>
      <c r="H19" s="131" t="str"/>
      <c r="I19" s="95" t="str"/>
      <c r="J19" s="95" t="str"/>
      <c r="K19" s="92" t="n"/>
      <c r="L19" s="92" t="n"/>
      <c r="M19" s="92" t="n"/>
      <c r="N19" s="92" t="n"/>
    </row>
    <row r="20">
      <c r="A20" s="92" t="n">
        <v>17</v>
      </c>
      <c r="B20" s="92" t="inlineStr">
        <is>
          <t>Financeiro</t>
        </is>
      </c>
      <c r="C20" s="92" t="inlineStr">
        <is>
          <t>Garantir capital e reserva de contingência</t>
        </is>
      </c>
      <c r="D20" s="92" t="inlineStr">
        <is>
          <t>Crítico</t>
        </is>
      </c>
      <c r="E20" s="95" t="inlineStr">
        <is>
          <t>Pendente</t>
        </is>
      </c>
      <c r="F20" s="95" t="inlineStr">
        <is>
          <t>Sim</t>
        </is>
      </c>
      <c r="G20" s="95" t="str"/>
      <c r="H20" s="131" t="str"/>
      <c r="I20" s="95" t="str"/>
      <c r="J20" s="95" t="str"/>
      <c r="K20" s="92" t="n"/>
      <c r="L20" s="92" t="n"/>
      <c r="M20" s="92" t="n"/>
      <c r="N20" s="92" t="n"/>
    </row>
    <row r="21">
      <c r="A21" s="92" t="n">
        <v>18</v>
      </c>
      <c r="B21" s="92" t="inlineStr">
        <is>
          <t>Tributário</t>
        </is>
      </c>
      <c r="C21" s="92" t="inlineStr">
        <is>
          <t>Validar tributação com contador</t>
        </is>
      </c>
      <c r="D21" s="92" t="inlineStr">
        <is>
          <t>Importante</t>
        </is>
      </c>
      <c r="E21" s="95" t="inlineStr">
        <is>
          <t>Pendente</t>
        </is>
      </c>
      <c r="F21" s="95" t="inlineStr">
        <is>
          <t>Não</t>
        </is>
      </c>
      <c r="G21" s="95" t="str"/>
      <c r="H21" s="131" t="str"/>
      <c r="I21" s="95" t="str"/>
      <c r="J21" s="95" t="str"/>
      <c r="K21" s="92" t="n"/>
      <c r="L21" s="92" t="n"/>
      <c r="M21" s="92" t="n"/>
      <c r="N21" s="92" t="n"/>
    </row>
    <row r="2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 ht="22" customHeight="1">
      <c r="A24" s="25" t="inlineStr">
        <is>
          <t>RESUMO AUTOMÁTICO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92" t="n"/>
      <c r="L24" s="92" t="n"/>
      <c r="M24" s="92" t="n"/>
      <c r="N24" s="92" t="n"/>
    </row>
    <row r="25">
      <c r="A25" s="6" t="inlineStr">
        <is>
          <t>Indicador</t>
        </is>
      </c>
      <c r="B25" s="6" t="inlineStr">
        <is>
          <t>Resultado</t>
        </is>
      </c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>
      <c r="A26" s="92" t="inlineStr">
        <is>
          <t>Itens críticos pendentes</t>
        </is>
      </c>
      <c r="B26" s="110">
        <f>COUNTIFS($D$4:$D$21,"Crítico",$E$4:$E$21,"Pendente")</f>
        <v/>
      </c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</row>
    <row r="27">
      <c r="A27" s="92" t="inlineStr">
        <is>
          <t>Itens críticos com problema</t>
        </is>
      </c>
      <c r="B27" s="110">
        <f>COUNTIFS($D$4:$D$21,"Crítico",$E$4:$E$21,"Problema")</f>
        <v/>
      </c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</row>
    <row r="28">
      <c r="A28" s="92" t="inlineStr">
        <is>
          <t>Bloqueios ativos</t>
        </is>
      </c>
      <c r="B28" s="110">
        <f>COUNTIFS($F$4:$F$21,"Sim",$E$4:$E$21,"&lt;&gt;OK",$E$4:$E$21,"&lt;&gt;N/A")</f>
        <v/>
      </c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</row>
    <row r="29">
      <c r="A29" s="92" t="inlineStr">
        <is>
          <t>Diligência concluída?</t>
        </is>
      </c>
      <c r="B29" s="110">
        <f>IF(B28=0,"SIM","NÃO")</f>
        <v/>
      </c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</row>
    <row r="30">
      <c r="A30" s="92" t="inlineStr">
        <is>
          <t>Status para lance</t>
        </is>
      </c>
      <c r="B30" s="110">
        <f>IF(B28&gt;0,"NÃO DAR LANCE","LIBERADO PARA ANÁLISE FINANCEIRA")</f>
        <v/>
      </c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2">
    <mergeCell ref="A1:J1"/>
    <mergeCell ref="A24:J24"/>
  </mergeCells>
  <conditionalFormatting sqref="E4:E21">
    <cfRule type="expression" priority="1" dxfId="0">
      <formula>E4="Problema"</formula>
    </cfRule>
    <cfRule type="expression" priority="2" dxfId="1">
      <formula>E4="Pendente"</formula>
    </cfRule>
    <cfRule type="expression" priority="3" dxfId="2">
      <formula>E4="OK"</formula>
    </cfRule>
  </conditionalFormatting>
  <conditionalFormatting sqref="B30">
    <cfRule type="expression" priority="4" dxfId="0">
      <formula>B30="NÃO DAR LANCE"</formula>
    </cfRule>
    <cfRule type="expression" priority="5" dxfId="4">
      <formula>B30="LIBERADO PARA ANÁLISE FINANCEIRA"</formula>
    </cfRule>
  </conditionalFormatting>
  <dataValidations count="3">
    <dataValidation sqref="D4:D21" showDropDown="0" showInputMessage="0" showErrorMessage="0" allowBlank="0" type="list">
      <formula1>Listas!$B$2:$B$4</formula1>
    </dataValidation>
    <dataValidation sqref="E4:E21" showDropDown="0" showInputMessage="0" showErrorMessage="0" allowBlank="0" type="list">
      <formula1>Listas!$A$2:$A$5</formula1>
    </dataValidation>
    <dataValidation sqref="F4:F21" showDropDown="0" showInputMessage="0" showErrorMessage="0" allowBlank="0" type="list">
      <formula1>Listas!$G$2:$G$3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2" customWidth="1" min="8" max="8"/>
    <col width="32" customWidth="1" min="9" max="9"/>
  </cols>
  <sheetData>
    <row r="1" ht="28" customHeight="1">
      <c r="A1" s="17" t="inlineStr">
        <is>
          <t>DÉBITOS, ÔNUS E OBRIGAÇÕES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92" t="n"/>
      <c r="K1" s="92" t="n"/>
      <c r="L1" s="92" t="n"/>
      <c r="M1" s="92" t="n"/>
      <c r="N1" s="92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>
      <c r="A3" s="6" t="inlineStr">
        <is>
          <t>Tipo</t>
        </is>
      </c>
      <c r="B3" s="6" t="inlineStr">
        <is>
          <t>Valor apurado</t>
        </is>
      </c>
      <c r="C3" s="6" t="inlineStr">
        <is>
          <t>Responsável provável</t>
        </is>
      </c>
      <c r="D3" s="6" t="inlineStr">
        <is>
          <t>Limite/cobertura do edital</t>
        </is>
      </c>
      <c r="E3" s="6" t="inlineStr">
        <is>
          <t>Coberto por terceiro?</t>
        </is>
      </c>
      <c r="F3" s="6" t="inlineStr">
        <is>
          <t>Custo do comprador</t>
        </is>
      </c>
      <c r="G3" s="6" t="inlineStr">
        <is>
          <t>Status</t>
        </is>
      </c>
      <c r="H3" s="6" t="inlineStr">
        <is>
          <t>Fonte</t>
        </is>
      </c>
      <c r="I3" s="6" t="inlineStr">
        <is>
          <t>Observação</t>
        </is>
      </c>
      <c r="J3" s="92" t="n"/>
      <c r="K3" s="92" t="n"/>
      <c r="L3" s="92" t="n"/>
      <c r="M3" s="92" t="n"/>
      <c r="N3" s="92" t="n"/>
    </row>
    <row r="4">
      <c r="A4" s="92" t="inlineStr">
        <is>
          <t>Condomínio vencido</t>
        </is>
      </c>
      <c r="B4" s="134" t="n">
        <v>0</v>
      </c>
      <c r="C4" s="95" t="inlineStr">
        <is>
          <t>A confirmar</t>
        </is>
      </c>
      <c r="D4" s="95" t="inlineStr">
        <is>
          <t>Até limite do edital</t>
        </is>
      </c>
      <c r="E4" s="95" t="inlineStr">
        <is>
          <t>A confirmar</t>
        </is>
      </c>
      <c r="F4" s="136">
        <f>IF(OR(E4="Sim",G4="N/A"),0,B4)</f>
        <v/>
      </c>
      <c r="G4" s="95" t="inlineStr">
        <is>
          <t>Pendente</t>
        </is>
      </c>
      <c r="H4" s="95" t="inlineStr">
        <is>
          <t>Administradora</t>
        </is>
      </c>
      <c r="I4" s="95" t="inlineStr">
        <is>
          <t>Penhora existente; obter saldo</t>
        </is>
      </c>
      <c r="J4" s="92" t="n"/>
      <c r="K4" s="92" t="n"/>
      <c r="L4" s="92" t="n"/>
      <c r="M4" s="92" t="n"/>
      <c r="N4" s="92" t="n"/>
    </row>
    <row r="5">
      <c r="A5" s="92" t="inlineStr">
        <is>
          <t>IPTU vencido</t>
        </is>
      </c>
      <c r="B5" s="134" t="n">
        <v>0</v>
      </c>
      <c r="C5" s="95" t="inlineStr">
        <is>
          <t>A confirmar</t>
        </is>
      </c>
      <c r="D5" s="95" t="inlineStr">
        <is>
          <t>Até limite do edital</t>
        </is>
      </c>
      <c r="E5" s="95" t="inlineStr">
        <is>
          <t>A confirmar</t>
        </is>
      </c>
      <c r="F5" s="136">
        <f>IF(OR(E5="Sim",G5="N/A"),0,B5)</f>
        <v/>
      </c>
      <c r="G5" s="95" t="inlineStr">
        <is>
          <t>Pendente</t>
        </is>
      </c>
      <c r="H5" s="95" t="inlineStr">
        <is>
          <t>Prefeitura</t>
        </is>
      </c>
      <c r="I5" s="95" t="inlineStr">
        <is>
          <t>Obter certidão</t>
        </is>
      </c>
      <c r="J5" s="92" t="n"/>
      <c r="K5" s="92" t="n"/>
      <c r="L5" s="92" t="n"/>
      <c r="M5" s="92" t="n"/>
      <c r="N5" s="92" t="n"/>
    </row>
    <row r="6">
      <c r="A6" s="92" t="inlineStr">
        <is>
          <t>Água</t>
        </is>
      </c>
      <c r="B6" s="134" t="n">
        <v>0</v>
      </c>
      <c r="C6" s="95" t="inlineStr">
        <is>
          <t>A confirmar</t>
        </is>
      </c>
      <c r="D6" s="95" t="inlineStr">
        <is>
          <t>Não informado</t>
        </is>
      </c>
      <c r="E6" s="95" t="inlineStr">
        <is>
          <t>Não</t>
        </is>
      </c>
      <c r="F6" s="136">
        <f>IF(OR(E6="Sim",G6="N/A"),0,B6)</f>
        <v/>
      </c>
      <c r="G6" s="95" t="inlineStr">
        <is>
          <t>Pendente</t>
        </is>
      </c>
      <c r="H6" s="95" t="inlineStr">
        <is>
          <t>Concessionária</t>
        </is>
      </c>
      <c r="I6" s="95" t="str"/>
      <c r="J6" s="92" t="n"/>
      <c r="K6" s="92" t="n"/>
      <c r="L6" s="92" t="n"/>
      <c r="M6" s="92" t="n"/>
      <c r="N6" s="92" t="n"/>
    </row>
    <row r="7">
      <c r="A7" s="92" t="inlineStr">
        <is>
          <t>Energia</t>
        </is>
      </c>
      <c r="B7" s="134" t="n">
        <v>0</v>
      </c>
      <c r="C7" s="95" t="inlineStr">
        <is>
          <t>A confirmar</t>
        </is>
      </c>
      <c r="D7" s="95" t="inlineStr">
        <is>
          <t>Não informado</t>
        </is>
      </c>
      <c r="E7" s="95" t="inlineStr">
        <is>
          <t>Não</t>
        </is>
      </c>
      <c r="F7" s="136">
        <f>IF(OR(E7="Sim",G7="N/A"),0,B7)</f>
        <v/>
      </c>
      <c r="G7" s="95" t="inlineStr">
        <is>
          <t>Pendente</t>
        </is>
      </c>
      <c r="H7" s="95" t="inlineStr">
        <is>
          <t>Concessionária</t>
        </is>
      </c>
      <c r="I7" s="95" t="str"/>
      <c r="J7" s="92" t="n"/>
      <c r="K7" s="92" t="n"/>
      <c r="L7" s="92" t="n"/>
      <c r="M7" s="92" t="n"/>
      <c r="N7" s="92" t="n"/>
    </row>
    <row r="8">
      <c r="A8" s="92" t="inlineStr">
        <is>
          <t>Gás</t>
        </is>
      </c>
      <c r="B8" s="134" t="n">
        <v>0</v>
      </c>
      <c r="C8" s="95" t="inlineStr">
        <is>
          <t>A confirmar</t>
        </is>
      </c>
      <c r="D8" s="95" t="inlineStr">
        <is>
          <t>Não informado</t>
        </is>
      </c>
      <c r="E8" s="95" t="inlineStr">
        <is>
          <t>Não</t>
        </is>
      </c>
      <c r="F8" s="136">
        <f>IF(OR(E8="Sim",G8="N/A"),0,B8)</f>
        <v/>
      </c>
      <c r="G8" s="95" t="inlineStr">
        <is>
          <t>N/A</t>
        </is>
      </c>
      <c r="H8" s="95" t="str"/>
      <c r="I8" s="95" t="str"/>
      <c r="J8" s="92" t="n"/>
      <c r="K8" s="92" t="n"/>
      <c r="L8" s="92" t="n"/>
      <c r="M8" s="92" t="n"/>
      <c r="N8" s="92" t="n"/>
    </row>
    <row r="9">
      <c r="A9" s="92" t="inlineStr">
        <is>
          <t>Multas condominiais</t>
        </is>
      </c>
      <c r="B9" s="134" t="n">
        <v>0</v>
      </c>
      <c r="C9" s="95" t="inlineStr">
        <is>
          <t>A confirmar</t>
        </is>
      </c>
      <c r="D9" s="95" t="inlineStr">
        <is>
          <t>A confirmar</t>
        </is>
      </c>
      <c r="E9" s="95" t="inlineStr">
        <is>
          <t>A confirmar</t>
        </is>
      </c>
      <c r="F9" s="136">
        <f>IF(OR(E9="Sim",G9="N/A"),0,B9)</f>
        <v/>
      </c>
      <c r="G9" s="95" t="inlineStr">
        <is>
          <t>Pendente</t>
        </is>
      </c>
      <c r="H9" s="95" t="inlineStr">
        <is>
          <t>Administradora</t>
        </is>
      </c>
      <c r="I9" s="95" t="str"/>
      <c r="J9" s="92" t="n"/>
      <c r="K9" s="92" t="n"/>
      <c r="L9" s="92" t="n"/>
      <c r="M9" s="92" t="n"/>
      <c r="N9" s="92" t="n"/>
    </row>
    <row r="10">
      <c r="A10" s="92" t="inlineStr">
        <is>
          <t>Custas para baixa de ônus</t>
        </is>
      </c>
      <c r="B10" s="134" t="n">
        <v>0</v>
      </c>
      <c r="C10" s="95" t="inlineStr">
        <is>
          <t>Comprador</t>
        </is>
      </c>
      <c r="D10" s="95" t="inlineStr">
        <is>
          <t>Não informado</t>
        </is>
      </c>
      <c r="E10" s="95" t="inlineStr">
        <is>
          <t>Não</t>
        </is>
      </c>
      <c r="F10" s="136">
        <f>IF(OR(E10="Sim",G10="N/A"),0,B10)</f>
        <v/>
      </c>
      <c r="G10" s="95" t="inlineStr">
        <is>
          <t>Pendente</t>
        </is>
      </c>
      <c r="H10" s="95" t="inlineStr">
        <is>
          <t>Cartório/advogado</t>
        </is>
      </c>
      <c r="I10" s="95" t="str"/>
      <c r="J10" s="92" t="n"/>
      <c r="K10" s="92" t="n"/>
      <c r="L10" s="92" t="n"/>
      <c r="M10" s="92" t="n"/>
      <c r="N10" s="92" t="n"/>
    </row>
    <row r="11">
      <c r="A11" s="92" t="inlineStr">
        <is>
          <t>Outros</t>
        </is>
      </c>
      <c r="B11" s="134" t="n">
        <v>0</v>
      </c>
      <c r="C11" s="95" t="inlineStr">
        <is>
          <t>Comprador</t>
        </is>
      </c>
      <c r="D11" s="95" t="inlineStr">
        <is>
          <t>Não</t>
        </is>
      </c>
      <c r="E11" s="95" t="inlineStr">
        <is>
          <t>Não</t>
        </is>
      </c>
      <c r="F11" s="136">
        <f>IF(OR(E11="Sim",G11="N/A"),0,B11)</f>
        <v/>
      </c>
      <c r="G11" s="95" t="inlineStr">
        <is>
          <t>N/A</t>
        </is>
      </c>
      <c r="H11" s="95" t="str"/>
      <c r="I11" s="95" t="str"/>
      <c r="J11" s="92" t="n"/>
      <c r="K11" s="92" t="n"/>
      <c r="L11" s="92" t="n"/>
      <c r="M11" s="92" t="n"/>
      <c r="N11" s="92" t="n"/>
    </row>
    <row r="12">
      <c r="A12" s="92" t="n"/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</row>
    <row r="13" ht="22" customHeight="1">
      <c r="A13" s="25" t="inlineStr">
        <is>
          <t>RESUMO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92" t="n"/>
      <c r="K13" s="92" t="n"/>
      <c r="L13" s="92" t="n"/>
      <c r="M13" s="92" t="n"/>
      <c r="N13" s="92" t="n"/>
    </row>
    <row r="14">
      <c r="A14" s="92" t="inlineStr">
        <is>
          <t>Total apurado</t>
        </is>
      </c>
      <c r="B14" s="136">
        <f>SUM(B4:B11)</f>
        <v/>
      </c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</row>
    <row r="15">
      <c r="A15" s="92" t="inlineStr">
        <is>
          <t>Total assumido pelo comprador</t>
        </is>
      </c>
      <c r="B15" s="136">
        <f>SUM(F4:F11)</f>
        <v/>
      </c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</row>
    <row r="16">
      <c r="A16" s="92" t="inlineStr">
        <is>
          <t>Débitos pendentes de apuração</t>
        </is>
      </c>
      <c r="B16" s="110">
        <f>COUNTIF(G4:G11,"Pendente")</f>
        <v/>
      </c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</row>
    <row r="17">
      <c r="A17" s="92" t="n"/>
      <c r="B17" s="92" t="n"/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</row>
    <row r="18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</row>
    <row r="19">
      <c r="A19" s="92" t="n"/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</row>
    <row r="20">
      <c r="A20" s="92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</row>
    <row r="21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</row>
    <row r="2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</row>
    <row r="25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</row>
    <row r="27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</row>
    <row r="28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</row>
    <row r="29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</row>
    <row r="30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2">
    <mergeCell ref="A1:I1"/>
    <mergeCell ref="A13:I13"/>
  </mergeCells>
  <dataValidations count="2">
    <dataValidation sqref="G4:G11" showDropDown="0" showInputMessage="0" showErrorMessage="0" allowBlank="0" type="list">
      <formula1>Listas!$A$2:$A$5</formula1>
    </dataValidation>
    <dataValidation sqref="E4:E11" showDropDown="0" showInputMessage="0" showErrorMessage="0" allowBlank="0" type="list">
      <formula1>Listas!$G$2:$G$4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8" customWidth="1" min="11" max="11"/>
    <col width="16" customWidth="1" min="12" max="12"/>
  </cols>
  <sheetData>
    <row r="1" ht="28" customHeight="1">
      <c r="A1" s="17" t="inlineStr">
        <is>
          <t>COMPARÁVEIS DE MERCADO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92" t="n"/>
      <c r="N1" s="92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>
      <c r="A3" s="6" t="inlineStr">
        <is>
          <t>#</t>
        </is>
      </c>
      <c r="B3" s="6" t="inlineStr">
        <is>
          <t>Imóvel / link</t>
        </is>
      </c>
      <c r="C3" s="6" t="inlineStr">
        <is>
          <t>Bairro/condomínio</t>
        </is>
      </c>
      <c r="D3" s="6" t="inlineStr">
        <is>
          <t>Área m²</t>
        </is>
      </c>
      <c r="E3" s="6" t="inlineStr">
        <is>
          <t>Preço anunciado</t>
        </is>
      </c>
      <c r="F3" s="6" t="inlineStr">
        <is>
          <t>Desconto estimado</t>
        </is>
      </c>
      <c r="G3" s="6" t="inlineStr">
        <is>
          <t>Preço ajustado</t>
        </is>
      </c>
      <c r="H3" s="6" t="inlineStr">
        <is>
          <t>R$/m² ajustado</t>
        </is>
      </c>
      <c r="I3" s="6" t="inlineStr">
        <is>
          <t>Estado</t>
        </is>
      </c>
      <c r="J3" s="6" t="inlineStr">
        <is>
          <t>Data</t>
        </is>
      </c>
      <c r="K3" s="6" t="inlineStr">
        <is>
          <t>Fonte</t>
        </is>
      </c>
      <c r="L3" s="6" t="inlineStr">
        <is>
          <t>Usar?</t>
        </is>
      </c>
      <c r="M3" s="92" t="n"/>
      <c r="N3" s="92" t="n"/>
    </row>
    <row r="4">
      <c r="A4" s="92" t="n">
        <v>1</v>
      </c>
      <c r="B4" s="95" t="str"/>
      <c r="C4" s="95" t="str"/>
      <c r="D4" s="95" t="str"/>
      <c r="E4" s="134" t="n">
        <v>0</v>
      </c>
      <c r="F4" s="135" t="n">
        <v>0.05</v>
      </c>
      <c r="G4" s="136">
        <f>E4*(1-F4)</f>
        <v/>
      </c>
      <c r="H4" s="136">
        <f>IFERROR(G4/D4,0)</f>
        <v/>
      </c>
      <c r="I4" s="95" t="str"/>
      <c r="J4" s="131" t="str"/>
      <c r="K4" s="95" t="str"/>
      <c r="L4" s="95" t="inlineStr">
        <is>
          <t>Não</t>
        </is>
      </c>
      <c r="M4" s="92" t="n"/>
      <c r="N4" s="92" t="n"/>
    </row>
    <row r="5">
      <c r="A5" s="92" t="n">
        <v>2</v>
      </c>
      <c r="B5" s="95" t="str"/>
      <c r="C5" s="95" t="str"/>
      <c r="D5" s="95" t="str"/>
      <c r="E5" s="134" t="n">
        <v>0</v>
      </c>
      <c r="F5" s="135" t="n">
        <v>0.05</v>
      </c>
      <c r="G5" s="136">
        <f>E5*(1-F5)</f>
        <v/>
      </c>
      <c r="H5" s="136">
        <f>IFERROR(G5/D5,0)</f>
        <v/>
      </c>
      <c r="I5" s="95" t="str"/>
      <c r="J5" s="131" t="str"/>
      <c r="K5" s="95" t="str"/>
      <c r="L5" s="95" t="inlineStr">
        <is>
          <t>Não</t>
        </is>
      </c>
      <c r="M5" s="92" t="n"/>
      <c r="N5" s="92" t="n"/>
    </row>
    <row r="6">
      <c r="A6" s="92" t="n">
        <v>3</v>
      </c>
      <c r="B6" s="95" t="str"/>
      <c r="C6" s="95" t="str"/>
      <c r="D6" s="95" t="str"/>
      <c r="E6" s="134" t="n">
        <v>0</v>
      </c>
      <c r="F6" s="135" t="n">
        <v>0.05</v>
      </c>
      <c r="G6" s="136">
        <f>E6*(1-F6)</f>
        <v/>
      </c>
      <c r="H6" s="136">
        <f>IFERROR(G6/D6,0)</f>
        <v/>
      </c>
      <c r="I6" s="95" t="str"/>
      <c r="J6" s="131" t="str"/>
      <c r="K6" s="95" t="str"/>
      <c r="L6" s="95" t="inlineStr">
        <is>
          <t>Não</t>
        </is>
      </c>
      <c r="M6" s="92" t="n"/>
      <c r="N6" s="92" t="n"/>
    </row>
    <row r="7">
      <c r="A7" s="92" t="n">
        <v>4</v>
      </c>
      <c r="B7" s="95" t="str"/>
      <c r="C7" s="95" t="str"/>
      <c r="D7" s="95" t="str"/>
      <c r="E7" s="134" t="n">
        <v>0</v>
      </c>
      <c r="F7" s="135" t="n">
        <v>0.05</v>
      </c>
      <c r="G7" s="136">
        <f>E7*(1-F7)</f>
        <v/>
      </c>
      <c r="H7" s="136">
        <f>IFERROR(G7/D7,0)</f>
        <v/>
      </c>
      <c r="I7" s="95" t="str"/>
      <c r="J7" s="131" t="str"/>
      <c r="K7" s="95" t="str"/>
      <c r="L7" s="95" t="inlineStr">
        <is>
          <t>Não</t>
        </is>
      </c>
      <c r="M7" s="92" t="n"/>
      <c r="N7" s="92" t="n"/>
    </row>
    <row r="8">
      <c r="A8" s="92" t="n">
        <v>5</v>
      </c>
      <c r="B8" s="95" t="str"/>
      <c r="C8" s="95" t="str"/>
      <c r="D8" s="95" t="str"/>
      <c r="E8" s="134" t="n">
        <v>0</v>
      </c>
      <c r="F8" s="135" t="n">
        <v>0.05</v>
      </c>
      <c r="G8" s="136">
        <f>E8*(1-F8)</f>
        <v/>
      </c>
      <c r="H8" s="136">
        <f>IFERROR(G8/D8,0)</f>
        <v/>
      </c>
      <c r="I8" s="95" t="str"/>
      <c r="J8" s="131" t="str"/>
      <c r="K8" s="95" t="str"/>
      <c r="L8" s="95" t="inlineStr">
        <is>
          <t>Não</t>
        </is>
      </c>
      <c r="M8" s="92" t="n"/>
      <c r="N8" s="92" t="n"/>
    </row>
    <row r="9">
      <c r="A9" s="92" t="n">
        <v>6</v>
      </c>
      <c r="B9" s="95" t="str"/>
      <c r="C9" s="95" t="str"/>
      <c r="D9" s="95" t="str"/>
      <c r="E9" s="134" t="n">
        <v>0</v>
      </c>
      <c r="F9" s="135" t="n">
        <v>0.05</v>
      </c>
      <c r="G9" s="136">
        <f>E9*(1-F9)</f>
        <v/>
      </c>
      <c r="H9" s="136">
        <f>IFERROR(G9/D9,0)</f>
        <v/>
      </c>
      <c r="I9" s="95" t="str"/>
      <c r="J9" s="131" t="str"/>
      <c r="K9" s="95" t="str"/>
      <c r="L9" s="95" t="inlineStr">
        <is>
          <t>Não</t>
        </is>
      </c>
      <c r="M9" s="92" t="n"/>
      <c r="N9" s="92" t="n"/>
    </row>
    <row r="10">
      <c r="A10" s="92" t="n">
        <v>7</v>
      </c>
      <c r="B10" s="95" t="str"/>
      <c r="C10" s="95" t="str"/>
      <c r="D10" s="95" t="str"/>
      <c r="E10" s="134" t="n">
        <v>0</v>
      </c>
      <c r="F10" s="135" t="n">
        <v>0.05</v>
      </c>
      <c r="G10" s="136">
        <f>E10*(1-F10)</f>
        <v/>
      </c>
      <c r="H10" s="136">
        <f>IFERROR(G10/D10,0)</f>
        <v/>
      </c>
      <c r="I10" s="95" t="str"/>
      <c r="J10" s="131" t="str"/>
      <c r="K10" s="95" t="str"/>
      <c r="L10" s="95" t="inlineStr">
        <is>
          <t>Não</t>
        </is>
      </c>
      <c r="M10" s="92" t="n"/>
      <c r="N10" s="92" t="n"/>
    </row>
    <row r="11">
      <c r="A11" s="92" t="n">
        <v>8</v>
      </c>
      <c r="B11" s="95" t="str"/>
      <c r="C11" s="95" t="str"/>
      <c r="D11" s="95" t="str"/>
      <c r="E11" s="134" t="n">
        <v>0</v>
      </c>
      <c r="F11" s="135" t="n">
        <v>0.05</v>
      </c>
      <c r="G11" s="136">
        <f>E11*(1-F11)</f>
        <v/>
      </c>
      <c r="H11" s="136">
        <f>IFERROR(G11/D11,0)</f>
        <v/>
      </c>
      <c r="I11" s="95" t="str"/>
      <c r="J11" s="131" t="str"/>
      <c r="K11" s="95" t="str"/>
      <c r="L11" s="95" t="inlineStr">
        <is>
          <t>Não</t>
        </is>
      </c>
      <c r="M11" s="92" t="n"/>
      <c r="N11" s="92" t="n"/>
    </row>
    <row r="12">
      <c r="A12" s="92" t="n">
        <v>9</v>
      </c>
      <c r="B12" s="95" t="str"/>
      <c r="C12" s="95" t="str"/>
      <c r="D12" s="95" t="str"/>
      <c r="E12" s="134" t="n">
        <v>0</v>
      </c>
      <c r="F12" s="135" t="n">
        <v>0.05</v>
      </c>
      <c r="G12" s="136">
        <f>E12*(1-F12)</f>
        <v/>
      </c>
      <c r="H12" s="136">
        <f>IFERROR(G12/D12,0)</f>
        <v/>
      </c>
      <c r="I12" s="95" t="str"/>
      <c r="J12" s="131" t="str"/>
      <c r="K12" s="95" t="str"/>
      <c r="L12" s="95" t="inlineStr">
        <is>
          <t>Não</t>
        </is>
      </c>
      <c r="M12" s="92" t="n"/>
      <c r="N12" s="92" t="n"/>
    </row>
    <row r="13">
      <c r="A13" s="92" t="n">
        <v>10</v>
      </c>
      <c r="B13" s="95" t="str"/>
      <c r="C13" s="95" t="str"/>
      <c r="D13" s="95" t="str"/>
      <c r="E13" s="134" t="n">
        <v>0</v>
      </c>
      <c r="F13" s="135" t="n">
        <v>0.05</v>
      </c>
      <c r="G13" s="136">
        <f>E13*(1-F13)</f>
        <v/>
      </c>
      <c r="H13" s="136">
        <f>IFERROR(G13/D13,0)</f>
        <v/>
      </c>
      <c r="I13" s="95" t="str"/>
      <c r="J13" s="131" t="str"/>
      <c r="K13" s="95" t="str"/>
      <c r="L13" s="95" t="inlineStr">
        <is>
          <t>Não</t>
        </is>
      </c>
      <c r="M13" s="92" t="n"/>
      <c r="N13" s="92" t="n"/>
    </row>
    <row r="14">
      <c r="A14" s="92" t="n"/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</row>
    <row r="15" ht="22" customHeight="1">
      <c r="A15" s="25" t="inlineStr">
        <is>
          <t>VALOR DE MERCADO VALIDADO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92" t="n"/>
      <c r="N15" s="92" t="n"/>
    </row>
    <row r="16">
      <c r="A16" s="6" t="inlineStr">
        <is>
          <t>Indicador</t>
        </is>
      </c>
      <c r="B16" s="6" t="inlineStr">
        <is>
          <t>Resultado</t>
        </is>
      </c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</row>
    <row r="17">
      <c r="A17" s="92" t="inlineStr">
        <is>
          <t>Quantidade utilizada</t>
        </is>
      </c>
      <c r="B17" s="114">
        <f>COUNTIF(L4:L13,"Sim")</f>
        <v/>
      </c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</row>
    <row r="18">
      <c r="A18" s="92" t="inlineStr">
        <is>
          <t>R$/m² médio</t>
        </is>
      </c>
      <c r="B18" s="137">
        <f>IFERROR(SUMIF(L4:L13,"Sim",H4:H13)/B17,0)</f>
        <v/>
      </c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</row>
    <row r="19">
      <c r="A19" s="92" t="inlineStr">
        <is>
          <t>R$/m² mediano</t>
        </is>
      </c>
      <c r="B19" s="137">
        <f>B18</f>
        <v/>
      </c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</row>
    <row r="20">
      <c r="A20" s="92" t="inlineStr">
        <is>
          <t>Valor de mercado estimado</t>
        </is>
      </c>
      <c r="B20" s="137">
        <f>B18*Entradas!B8</f>
        <v/>
      </c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</row>
    <row r="21">
      <c r="A21" s="92" t="inlineStr">
        <is>
          <t>Grau de confiança</t>
        </is>
      </c>
      <c r="B21" s="114">
        <f>IF(B17&gt;=5,"ALTA",IF(B17&gt;=3,"MÉDIA","BAIXA"))</f>
        <v/>
      </c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</row>
    <row r="2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</row>
    <row r="25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</row>
    <row r="27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</row>
    <row r="28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</row>
    <row r="29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</row>
    <row r="30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2">
    <mergeCell ref="A15:L15"/>
    <mergeCell ref="A1:L1"/>
  </mergeCells>
  <dataValidations count="1">
    <dataValidation sqref="L4:L13" showDropDown="0" showInputMessage="0" showErrorMessage="0" allowBlank="0" type="list">
      <formula1>Listas!$G$2:$G$3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2" customWidth="1" min="8" max="8"/>
  </cols>
  <sheetData>
    <row r="1" ht="28" customHeight="1">
      <c r="A1" s="17" t="inlineStr">
        <is>
          <t>ORÇAMENTO DE REFORMA — TRÊS CENÁRIOS</t>
        </is>
      </c>
      <c r="B1" s="1" t="n"/>
      <c r="C1" s="1" t="n"/>
      <c r="D1" s="1" t="n"/>
      <c r="E1" s="1" t="n"/>
      <c r="F1" s="1" t="n"/>
      <c r="G1" s="1" t="n"/>
      <c r="H1" s="1" t="n"/>
      <c r="I1" s="92" t="n"/>
      <c r="J1" s="92" t="n"/>
      <c r="K1" s="92" t="n"/>
      <c r="L1" s="92" t="n"/>
      <c r="M1" s="92" t="n"/>
      <c r="N1" s="92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>
      <c r="A3" s="6" t="inlineStr">
        <is>
          <t>Item</t>
        </is>
      </c>
      <c r="B3" s="6" t="inlineStr">
        <is>
          <t>Quantidade</t>
        </is>
      </c>
      <c r="C3" s="6" t="inlineStr">
        <is>
          <t>Unidade</t>
        </is>
      </c>
      <c r="D3" s="6" t="inlineStr">
        <is>
          <t>Custo unitário</t>
        </is>
      </c>
      <c r="E3" s="6" t="inlineStr">
        <is>
          <t>Leve</t>
        </is>
      </c>
      <c r="F3" s="6" t="inlineStr">
        <is>
          <t>Médio</t>
        </is>
      </c>
      <c r="G3" s="6" t="inlineStr">
        <is>
          <t>Pesado</t>
        </is>
      </c>
      <c r="H3" s="6" t="inlineStr">
        <is>
          <t>Fonte / observação</t>
        </is>
      </c>
      <c r="I3" s="92" t="n"/>
      <c r="J3" s="92" t="n"/>
      <c r="K3" s="92" t="n"/>
      <c r="L3" s="92" t="n"/>
      <c r="M3" s="92" t="n"/>
      <c r="N3" s="92" t="n"/>
    </row>
    <row r="4">
      <c r="A4" s="92" t="inlineStr">
        <is>
          <t>Pintura</t>
        </is>
      </c>
      <c r="B4" s="95" t="n">
        <v>1</v>
      </c>
      <c r="C4" s="95" t="inlineStr">
        <is>
          <t>pacote</t>
        </is>
      </c>
      <c r="D4" s="134" t="n">
        <v>5000</v>
      </c>
      <c r="E4" s="135" t="n">
        <v>1</v>
      </c>
      <c r="F4" s="135" t="n">
        <v>1</v>
      </c>
      <c r="G4" s="135" t="n">
        <v>1</v>
      </c>
      <c r="H4" s="95" t="inlineStr">
        <is>
          <t>Estimativa</t>
        </is>
      </c>
      <c r="I4" s="92" t="n"/>
      <c r="J4" s="92" t="n"/>
      <c r="K4" s="92" t="n"/>
      <c r="L4" s="92" t="n"/>
      <c r="M4" s="92" t="n"/>
      <c r="N4" s="92" t="n"/>
    </row>
    <row r="5">
      <c r="A5" s="92" t="inlineStr">
        <is>
          <t>Pisos/revestimentos</t>
        </is>
      </c>
      <c r="B5" s="95" t="n">
        <v>51</v>
      </c>
      <c r="C5" s="95" t="inlineStr">
        <is>
          <t>m²</t>
        </is>
      </c>
      <c r="D5" s="134" t="n">
        <v>120</v>
      </c>
      <c r="E5" s="135" t="n">
        <v>0</v>
      </c>
      <c r="F5" s="135" t="n">
        <v>0.5</v>
      </c>
      <c r="G5" s="135" t="n">
        <v>1</v>
      </c>
      <c r="H5" s="95" t="str"/>
      <c r="I5" s="92" t="n"/>
      <c r="J5" s="92" t="n"/>
      <c r="K5" s="92" t="n"/>
      <c r="L5" s="92" t="n"/>
      <c r="M5" s="92" t="n"/>
      <c r="N5" s="92" t="n"/>
    </row>
    <row r="6">
      <c r="A6" s="92" t="inlineStr">
        <is>
          <t>Elétrica</t>
        </is>
      </c>
      <c r="B6" s="95" t="n">
        <v>1</v>
      </c>
      <c r="C6" s="95" t="inlineStr">
        <is>
          <t>pacote</t>
        </is>
      </c>
      <c r="D6" s="134" t="n">
        <v>6000</v>
      </c>
      <c r="E6" s="135" t="n">
        <v>0.1</v>
      </c>
      <c r="F6" s="135" t="n">
        <v>0.5</v>
      </c>
      <c r="G6" s="135" t="n">
        <v>1</v>
      </c>
      <c r="H6" s="95" t="str"/>
      <c r="I6" s="92" t="n"/>
      <c r="J6" s="92" t="n"/>
      <c r="K6" s="92" t="n"/>
      <c r="L6" s="92" t="n"/>
      <c r="M6" s="92" t="n"/>
      <c r="N6" s="92" t="n"/>
    </row>
    <row r="7">
      <c r="A7" s="92" t="inlineStr">
        <is>
          <t>Hidráulica</t>
        </is>
      </c>
      <c r="B7" s="95" t="n">
        <v>1</v>
      </c>
      <c r="C7" s="95" t="inlineStr">
        <is>
          <t>pacote</t>
        </is>
      </c>
      <c r="D7" s="134" t="n">
        <v>7000</v>
      </c>
      <c r="E7" s="135" t="n">
        <v>0.1</v>
      </c>
      <c r="F7" s="135" t="n">
        <v>0.4</v>
      </c>
      <c r="G7" s="135" t="n">
        <v>1</v>
      </c>
      <c r="H7" s="95" t="str"/>
      <c r="I7" s="92" t="n"/>
      <c r="J7" s="92" t="n"/>
      <c r="K7" s="92" t="n"/>
      <c r="L7" s="92" t="n"/>
      <c r="M7" s="92" t="n"/>
      <c r="N7" s="92" t="n"/>
    </row>
    <row r="8">
      <c r="A8" s="92" t="inlineStr">
        <is>
          <t>Cozinha</t>
        </is>
      </c>
      <c r="B8" s="95" t="n">
        <v>1</v>
      </c>
      <c r="C8" s="95" t="inlineStr">
        <is>
          <t>pacote</t>
        </is>
      </c>
      <c r="D8" s="134" t="n">
        <v>8000</v>
      </c>
      <c r="E8" s="135" t="n">
        <v>0.1</v>
      </c>
      <c r="F8" s="135" t="n">
        <v>0.5</v>
      </c>
      <c r="G8" s="135" t="n">
        <v>1</v>
      </c>
      <c r="H8" s="95" t="str"/>
      <c r="I8" s="92" t="n"/>
      <c r="J8" s="92" t="n"/>
      <c r="K8" s="92" t="n"/>
      <c r="L8" s="92" t="n"/>
      <c r="M8" s="92" t="n"/>
      <c r="N8" s="92" t="n"/>
    </row>
    <row r="9">
      <c r="A9" s="92" t="inlineStr">
        <is>
          <t>Banheiro</t>
        </is>
      </c>
      <c r="B9" s="95" t="n">
        <v>1</v>
      </c>
      <c r="C9" s="95" t="inlineStr">
        <is>
          <t>pacote</t>
        </is>
      </c>
      <c r="D9" s="134" t="n">
        <v>7000</v>
      </c>
      <c r="E9" s="135" t="n">
        <v>0.1</v>
      </c>
      <c r="F9" s="135" t="n">
        <v>0.5</v>
      </c>
      <c r="G9" s="135" t="n">
        <v>1</v>
      </c>
      <c r="H9" s="95" t="str"/>
      <c r="I9" s="92" t="n"/>
      <c r="J9" s="92" t="n"/>
      <c r="K9" s="92" t="n"/>
      <c r="L9" s="92" t="n"/>
      <c r="M9" s="92" t="n"/>
      <c r="N9" s="92" t="n"/>
    </row>
    <row r="10">
      <c r="A10" s="92" t="inlineStr">
        <is>
          <t>Portas/esquadrias</t>
        </is>
      </c>
      <c r="B10" s="95" t="n">
        <v>1</v>
      </c>
      <c r="C10" s="95" t="inlineStr">
        <is>
          <t>pacote</t>
        </is>
      </c>
      <c r="D10" s="134" t="n">
        <v>4000</v>
      </c>
      <c r="E10" s="135" t="n">
        <v>0.1</v>
      </c>
      <c r="F10" s="135" t="n">
        <v>0.4</v>
      </c>
      <c r="G10" s="135" t="n">
        <v>1</v>
      </c>
      <c r="H10" s="95" t="str"/>
      <c r="I10" s="92" t="n"/>
      <c r="J10" s="92" t="n"/>
      <c r="K10" s="92" t="n"/>
      <c r="L10" s="92" t="n"/>
      <c r="M10" s="92" t="n"/>
      <c r="N10" s="92" t="n"/>
    </row>
    <row r="11">
      <c r="A11" s="92" t="inlineStr">
        <is>
          <t>Limpeza/caçamba</t>
        </is>
      </c>
      <c r="B11" s="95" t="n">
        <v>1</v>
      </c>
      <c r="C11" s="95" t="inlineStr">
        <is>
          <t>pacote</t>
        </is>
      </c>
      <c r="D11" s="134" t="n">
        <v>1500</v>
      </c>
      <c r="E11" s="135" t="n">
        <v>1</v>
      </c>
      <c r="F11" s="135" t="n">
        <v>1</v>
      </c>
      <c r="G11" s="135" t="n">
        <v>1</v>
      </c>
      <c r="H11" s="95" t="str"/>
      <c r="I11" s="92" t="n"/>
      <c r="J11" s="92" t="n"/>
      <c r="K11" s="92" t="n"/>
      <c r="L11" s="92" t="n"/>
      <c r="M11" s="92" t="n"/>
      <c r="N11" s="92" t="n"/>
    </row>
    <row r="12">
      <c r="A12" s="92" t="inlineStr">
        <is>
          <t>Contingência</t>
        </is>
      </c>
      <c r="B12" s="95" t="n">
        <v>1</v>
      </c>
      <c r="C12" s="95" t="inlineStr">
        <is>
          <t>%</t>
        </is>
      </c>
      <c r="D12" s="135" t="n">
        <v>0.15</v>
      </c>
      <c r="E12" s="135" t="n">
        <v>0</v>
      </c>
      <c r="F12" s="135" t="n">
        <v>0</v>
      </c>
      <c r="G12" s="135" t="n">
        <v>0</v>
      </c>
      <c r="H12" s="95" t="inlineStr">
        <is>
          <t>Aplicada no resumo</t>
        </is>
      </c>
      <c r="I12" s="92" t="n"/>
      <c r="J12" s="92" t="n"/>
      <c r="K12" s="92" t="n"/>
      <c r="L12" s="92" t="n"/>
      <c r="M12" s="92" t="n"/>
      <c r="N12" s="92" t="n"/>
    </row>
    <row r="13">
      <c r="A13" s="92" t="n"/>
      <c r="B13" s="92" t="n"/>
      <c r="C13" s="92" t="n"/>
      <c r="D13" s="92" t="n"/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</row>
    <row r="14" ht="22" customHeight="1">
      <c r="A14" s="25" t="inlineStr">
        <is>
          <t>TOTAL POR CENÁRIO</t>
        </is>
      </c>
      <c r="B14" s="1" t="n"/>
      <c r="C14" s="1" t="n"/>
      <c r="D14" s="1" t="n"/>
      <c r="E14" s="1" t="n"/>
      <c r="F14" s="1" t="n"/>
      <c r="G14" s="1" t="n"/>
      <c r="H14" s="1" t="n"/>
      <c r="I14" s="92" t="n"/>
      <c r="J14" s="92" t="n"/>
      <c r="K14" s="92" t="n"/>
      <c r="L14" s="92" t="n"/>
      <c r="M14" s="92" t="n"/>
      <c r="N14" s="92" t="n"/>
    </row>
    <row r="15">
      <c r="A15" s="6" t="inlineStr">
        <is>
          <t>Cenário</t>
        </is>
      </c>
      <c r="B15" s="6" t="inlineStr">
        <is>
          <t>Subtotal</t>
        </is>
      </c>
      <c r="C15" s="6" t="inlineStr">
        <is>
          <t>Contingência</t>
        </is>
      </c>
      <c r="D15" s="6" t="inlineStr">
        <is>
          <t>Total</t>
        </is>
      </c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</row>
    <row r="16">
      <c r="A16" s="92" t="inlineStr">
        <is>
          <t>Leve</t>
        </is>
      </c>
      <c r="B16" s="137">
        <f>SUMPRODUCT($B$4:$B$11,$D$4:$D$11,$E$4:$E$11)</f>
        <v/>
      </c>
      <c r="C16" s="137">
        <f>B16*$D$12</f>
        <v/>
      </c>
      <c r="D16" s="137">
        <f>B16+C16</f>
        <v/>
      </c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</row>
    <row r="17">
      <c r="A17" s="92" t="inlineStr">
        <is>
          <t>Médio</t>
        </is>
      </c>
      <c r="B17" s="137">
        <f>SUMPRODUCT($B$4:$B$11,$D$4:$D$11,$F$4:$F$11)</f>
        <v/>
      </c>
      <c r="C17" s="137">
        <f>B17*$D$12</f>
        <v/>
      </c>
      <c r="D17" s="137">
        <f>B17+C17</f>
        <v/>
      </c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</row>
    <row r="18">
      <c r="A18" s="92" t="inlineStr">
        <is>
          <t>Pesado</t>
        </is>
      </c>
      <c r="B18" s="137">
        <f>SUMPRODUCT($B$4:$B$11,$D$4:$D$11,$G$4:$G$11)</f>
        <v/>
      </c>
      <c r="C18" s="137">
        <f>B18*$D$12</f>
        <v/>
      </c>
      <c r="D18" s="137">
        <f>B18+C18</f>
        <v/>
      </c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</row>
    <row r="19">
      <c r="A19" s="92">
        <f>Entradas!B10</f>
        <v/>
      </c>
      <c r="B19" s="137" t="n"/>
      <c r="C19" s="137" t="n"/>
      <c r="D19" s="137">
        <f>IF(A19="Pessimista",D18,IF(A19="Otimista",D16,D17))</f>
        <v/>
      </c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</row>
    <row r="20">
      <c r="A20" s="92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</row>
    <row r="21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</row>
    <row r="2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</row>
    <row r="25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</row>
    <row r="27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</row>
    <row r="28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</row>
    <row r="29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</row>
    <row r="30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2">
    <mergeCell ref="A14:H14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</cols>
  <sheetData>
    <row r="1" ht="28" customHeight="1">
      <c r="A1" s="17" t="inlineStr">
        <is>
          <t>CENÁRIOS DE PREÇO, PRAZO E RISCO</t>
        </is>
      </c>
      <c r="B1" s="1" t="n"/>
      <c r="C1" s="1" t="n"/>
      <c r="D1" s="1" t="n"/>
      <c r="E1" s="1" t="n"/>
      <c r="F1" s="1" t="n"/>
      <c r="G1" s="1" t="n"/>
      <c r="H1" s="1" t="n"/>
      <c r="I1" s="92" t="n"/>
      <c r="J1" s="92" t="n"/>
      <c r="K1" s="92" t="n"/>
      <c r="L1" s="92" t="n"/>
      <c r="M1" s="92" t="n"/>
      <c r="N1" s="92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>
      <c r="A3" s="6" t="inlineStr">
        <is>
          <t>Premissa</t>
        </is>
      </c>
      <c r="B3" s="6" t="inlineStr">
        <is>
          <t>Pessimista</t>
        </is>
      </c>
      <c r="C3" s="6" t="inlineStr">
        <is>
          <t>Base</t>
        </is>
      </c>
      <c r="D3" s="6" t="inlineStr">
        <is>
          <t>Otimista</t>
        </is>
      </c>
      <c r="E3" s="6" t="inlineStr">
        <is>
          <t>Selecionado</t>
        </is>
      </c>
      <c r="F3" s="6" t="inlineStr">
        <is>
          <t>Unidade</t>
        </is>
      </c>
      <c r="G3" s="6" t="inlineStr">
        <is>
          <t>Fonte</t>
        </is>
      </c>
      <c r="H3" s="6" t="inlineStr">
        <is>
          <t>Observação</t>
        </is>
      </c>
      <c r="I3" s="92" t="n"/>
      <c r="J3" s="92" t="n"/>
      <c r="K3" s="92" t="n"/>
      <c r="L3" s="92" t="n"/>
      <c r="M3" s="92" t="n"/>
      <c r="N3" s="92" t="n"/>
    </row>
    <row r="4">
      <c r="A4" s="92" t="inlineStr">
        <is>
          <t>Valor de mercado</t>
        </is>
      </c>
      <c r="B4" s="134" t="n">
        <v>245000</v>
      </c>
      <c r="C4" s="134" t="n">
        <v>266300</v>
      </c>
      <c r="D4" s="134" t="n">
        <v>280000</v>
      </c>
      <c r="E4" s="138">
        <f>IF(Entradas!B10="Pessimista",B4,IF(Entradas!B10="Otimista",D4,C4))</f>
        <v/>
      </c>
      <c r="F4" s="92" t="inlineStr">
        <is>
          <t>R$</t>
        </is>
      </c>
      <c r="G4" s="92" t="inlineStr">
        <is>
          <t>Avaliação Caixa / validar comparáveis</t>
        </is>
      </c>
      <c r="H4" s="92" t="str"/>
      <c r="I4" s="92" t="n"/>
      <c r="J4" s="92" t="n"/>
      <c r="K4" s="92" t="n"/>
      <c r="L4" s="92" t="n"/>
      <c r="M4" s="92" t="n"/>
      <c r="N4" s="92" t="n"/>
    </row>
    <row r="5">
      <c r="A5" s="92" t="inlineStr">
        <is>
          <t>Desconto na venda</t>
        </is>
      </c>
      <c r="B5" s="135" t="n">
        <v>0.07000000000000001</v>
      </c>
      <c r="C5" s="135" t="n">
        <v>0.03</v>
      </c>
      <c r="D5" s="135" t="n">
        <v>0.01</v>
      </c>
      <c r="E5" s="139">
        <f>IF(Entradas!B11="Pessimista",B5,IF(Entradas!B11="Otimista",D5,C5))</f>
        <v/>
      </c>
      <c r="F5" s="92" t="inlineStr">
        <is>
          <t>%</t>
        </is>
      </c>
      <c r="G5" s="92" t="inlineStr">
        <is>
          <t>Premissa</t>
        </is>
      </c>
      <c r="H5" s="92" t="str"/>
      <c r="I5" s="92" t="n"/>
      <c r="J5" s="92" t="n"/>
      <c r="K5" s="92" t="n"/>
      <c r="L5" s="92" t="n"/>
      <c r="M5" s="92" t="n"/>
      <c r="N5" s="92" t="n"/>
    </row>
    <row r="6">
      <c r="A6" s="92" t="inlineStr">
        <is>
          <t>Prazo até posse</t>
        </is>
      </c>
      <c r="B6" s="95" t="n">
        <v>10</v>
      </c>
      <c r="C6" s="95" t="n">
        <v>4</v>
      </c>
      <c r="D6" s="95" t="n">
        <v>1</v>
      </c>
      <c r="E6" s="92">
        <f>IF(Entradas!B12="Pessimista",B6,IF(Entradas!B12="Otimista",D6,C6))</f>
        <v/>
      </c>
      <c r="F6" s="92" t="inlineStr">
        <is>
          <t>meses</t>
        </is>
      </c>
      <c r="G6" s="92" t="inlineStr">
        <is>
          <t>Premissa</t>
        </is>
      </c>
      <c r="H6" s="92" t="str"/>
      <c r="I6" s="92" t="n"/>
      <c r="J6" s="92" t="n"/>
      <c r="K6" s="92" t="n"/>
      <c r="L6" s="92" t="n"/>
      <c r="M6" s="92" t="n"/>
      <c r="N6" s="92" t="n"/>
    </row>
    <row r="7">
      <c r="A7" s="92" t="inlineStr">
        <is>
          <t>Prazo de reforma</t>
        </is>
      </c>
      <c r="B7" s="95" t="n">
        <v>3</v>
      </c>
      <c r="C7" s="95" t="n">
        <v>2</v>
      </c>
      <c r="D7" s="95" t="n">
        <v>1</v>
      </c>
      <c r="E7" s="92">
        <f>IF(Entradas!B13="Pessimista",B7,IF(Entradas!B13="Otimista",D7,C7))</f>
        <v/>
      </c>
      <c r="F7" s="92" t="inlineStr">
        <is>
          <t>meses</t>
        </is>
      </c>
      <c r="G7" s="92" t="inlineStr">
        <is>
          <t>Premissa</t>
        </is>
      </c>
      <c r="H7" s="92" t="str"/>
      <c r="I7" s="92" t="n"/>
      <c r="J7" s="92" t="n"/>
      <c r="K7" s="92" t="n"/>
      <c r="L7" s="92" t="n"/>
      <c r="M7" s="92" t="n"/>
      <c r="N7" s="92" t="n"/>
    </row>
    <row r="8">
      <c r="A8" s="92" t="inlineStr">
        <is>
          <t>Prazo de venda</t>
        </is>
      </c>
      <c r="B8" s="95" t="n">
        <v>9</v>
      </c>
      <c r="C8" s="95" t="n">
        <v>6</v>
      </c>
      <c r="D8" s="95" t="n">
        <v>3</v>
      </c>
      <c r="E8" s="92">
        <f>IF(Entradas!B14="Pessimista",B8,IF(Entradas!B14="Otimista",D8,C8))</f>
        <v/>
      </c>
      <c r="F8" s="92" t="inlineStr">
        <is>
          <t>meses</t>
        </is>
      </c>
      <c r="G8" s="92" t="inlineStr">
        <is>
          <t>Premissa</t>
        </is>
      </c>
      <c r="H8" s="92" t="str"/>
      <c r="I8" s="92" t="n"/>
      <c r="J8" s="92" t="n"/>
      <c r="K8" s="92" t="n"/>
      <c r="L8" s="92" t="n"/>
      <c r="M8" s="92" t="n"/>
      <c r="N8" s="92" t="n"/>
    </row>
    <row r="9">
      <c r="A9" s="92" t="inlineStr">
        <is>
          <t>Reforma total</t>
        </is>
      </c>
      <c r="B9" s="137">
        <f>Reforma!D18</f>
        <v/>
      </c>
      <c r="C9" s="137">
        <f>Reforma!D17</f>
        <v/>
      </c>
      <c r="D9" s="137">
        <f>Reforma!D16</f>
        <v/>
      </c>
      <c r="E9" s="137">
        <f>IF(Entradas!B15="Pessimista",B9,IF(Entradas!B15="Otimista",D9,C9))</f>
        <v/>
      </c>
      <c r="F9" s="92" t="inlineStr">
        <is>
          <t>R$</t>
        </is>
      </c>
      <c r="G9" s="92" t="inlineStr">
        <is>
          <t>Aba Reforma</t>
        </is>
      </c>
      <c r="H9" s="92" t="str"/>
      <c r="I9" s="92" t="n"/>
      <c r="J9" s="92" t="n"/>
      <c r="K9" s="92" t="n"/>
      <c r="L9" s="92" t="n"/>
      <c r="M9" s="92" t="n"/>
      <c r="N9" s="92" t="n"/>
    </row>
    <row r="10">
      <c r="A10" s="92" t="inlineStr">
        <is>
          <t>Débitos assumidos</t>
        </is>
      </c>
      <c r="B10" s="137">
        <f>Debitos!B15</f>
        <v/>
      </c>
      <c r="C10" s="137">
        <f>Debitos!B15</f>
        <v/>
      </c>
      <c r="D10" s="137">
        <f>Debitos!B15</f>
        <v/>
      </c>
      <c r="E10" s="137">
        <f>IF(Entradas!B16="Pessimista",B10,IF(Entradas!B16="Otimista",D10,C10))</f>
        <v/>
      </c>
      <c r="F10" s="92" t="inlineStr">
        <is>
          <t>R$</t>
        </is>
      </c>
      <c r="G10" s="92" t="inlineStr">
        <is>
          <t>Aba Débitos</t>
        </is>
      </c>
      <c r="H10" s="92" t="str"/>
      <c r="I10" s="92" t="n"/>
      <c r="J10" s="92" t="n"/>
      <c r="K10" s="92" t="n"/>
      <c r="L10" s="92" t="n"/>
      <c r="M10" s="92" t="n"/>
      <c r="N10" s="92" t="n"/>
    </row>
    <row r="11">
      <c r="A11" s="92" t="inlineStr">
        <is>
          <t>Contingência jurídica</t>
        </is>
      </c>
      <c r="B11" s="140" t="n">
        <v>15000</v>
      </c>
      <c r="C11" s="140" t="n">
        <v>7000</v>
      </c>
      <c r="D11" s="140" t="n">
        <v>3000</v>
      </c>
      <c r="E11" s="137">
        <f>IF(Entradas!B17="Pessimista",B11,IF(Entradas!B17="Otimista",D11,C11))</f>
        <v/>
      </c>
      <c r="F11" s="92" t="inlineStr">
        <is>
          <t>R$</t>
        </is>
      </c>
      <c r="G11" s="92" t="inlineStr">
        <is>
          <t>Premissa</t>
        </is>
      </c>
      <c r="H11" s="92" t="str"/>
      <c r="I11" s="92" t="n"/>
      <c r="J11" s="92" t="n"/>
      <c r="K11" s="92" t="n"/>
      <c r="L11" s="92" t="n"/>
      <c r="M11" s="92" t="n"/>
      <c r="N11" s="92" t="n"/>
    </row>
    <row r="12">
      <c r="A12" s="92" t="n"/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</row>
    <row r="13">
      <c r="A13" s="92" t="n"/>
      <c r="B13" s="92" t="n"/>
      <c r="C13" s="92" t="n"/>
      <c r="D13" s="92" t="n"/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</row>
    <row r="14">
      <c r="A14" s="92" t="n"/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</row>
    <row r="15">
      <c r="A15" s="92" t="n"/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</row>
    <row r="16">
      <c r="A16" s="92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</row>
    <row r="17">
      <c r="A17" s="92" t="n"/>
      <c r="B17" s="92" t="n"/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</row>
    <row r="18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</row>
    <row r="19">
      <c r="A19" s="92" t="n"/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</row>
    <row r="20">
      <c r="A20" s="92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</row>
    <row r="21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</row>
    <row r="2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</row>
    <row r="25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</row>
    <row r="27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</row>
    <row r="28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</row>
    <row r="29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</row>
    <row r="30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7" t="inlineStr">
        <is>
          <t>FLUXO DE CAIXA E RETORNO DO INVESTIMENTO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 ht="22" customHeight="1">
      <c r="A3" s="25" t="inlineStr">
        <is>
          <t>RESUMO DO PROJETO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6" t="inlineStr">
        <is>
          <t>Indicador</t>
        </is>
      </c>
      <c r="B4" s="6" t="inlineStr">
        <is>
          <t>Valor</t>
        </is>
      </c>
      <c r="C4" s="6" t="inlineStr">
        <is>
          <t>Unidade</t>
        </is>
      </c>
      <c r="D4" s="6" t="inlineStr">
        <is>
          <t>Observação</t>
        </is>
      </c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</row>
    <row r="5">
      <c r="A5" s="92" t="inlineStr">
        <is>
          <t>Preço de venda anunciado</t>
        </is>
      </c>
      <c r="B5" s="137">
        <f>Cenarios!E4</f>
        <v/>
      </c>
      <c r="C5" s="92" t="inlineStr">
        <is>
          <t>R$</t>
        </is>
      </c>
      <c r="D5" s="92" t="inlineStr">
        <is>
          <t>Cenário selecionado</t>
        </is>
      </c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</row>
    <row r="6">
      <c r="A6" s="92" t="inlineStr">
        <is>
          <t>Preço efetivo de venda</t>
        </is>
      </c>
      <c r="B6" s="137">
        <f>B5*(1-Cenarios!E5)</f>
        <v/>
      </c>
      <c r="C6" s="92" t="inlineStr">
        <is>
          <t>R$</t>
        </is>
      </c>
      <c r="D6" s="92" t="inlineStr">
        <is>
          <t>Após desconto comercial</t>
        </is>
      </c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</row>
    <row r="7">
      <c r="A7" s="92" t="inlineStr">
        <is>
          <t>Comissão corretor</t>
        </is>
      </c>
      <c r="B7" s="137">
        <f>B6*Entradas!B27</f>
        <v/>
      </c>
      <c r="C7" s="92" t="inlineStr">
        <is>
          <t>R$</t>
        </is>
      </c>
      <c r="D7" s="92" t="str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</row>
    <row r="8">
      <c r="A8" s="92" t="inlineStr">
        <is>
          <t>Receita líquida antes de imposto</t>
        </is>
      </c>
      <c r="B8" s="137">
        <f>B6-B7</f>
        <v/>
      </c>
      <c r="C8" s="92" t="inlineStr">
        <is>
          <t>R$</t>
        </is>
      </c>
      <c r="D8" s="92" t="str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</row>
    <row r="9">
      <c r="A9" s="92" t="inlineStr">
        <is>
          <t>Valor da arrematação</t>
        </is>
      </c>
      <c r="B9" s="137">
        <f>Entradas!B14</f>
        <v/>
      </c>
      <c r="C9" s="92" t="inlineStr">
        <is>
          <t>R$</t>
        </is>
      </c>
      <c r="D9" s="92" t="str"/>
      <c r="E9" s="92" t="n"/>
      <c r="F9" s="92" t="n"/>
      <c r="G9" s="92" t="n"/>
      <c r="H9" s="92" t="n"/>
      <c r="I9" s="92" t="n"/>
      <c r="J9" s="92" t="n"/>
      <c r="K9" s="92" t="n"/>
      <c r="L9" s="92" t="n"/>
      <c r="M9" s="92" t="n"/>
      <c r="N9" s="92" t="n"/>
    </row>
    <row r="10">
      <c r="A10" s="92" t="inlineStr">
        <is>
          <t>Comissão leiloeiro</t>
        </is>
      </c>
      <c r="B10" s="137">
        <f>B9*Entradas!B15</f>
        <v/>
      </c>
      <c r="C10" s="92" t="inlineStr">
        <is>
          <t>R$</t>
        </is>
      </c>
      <c r="D10" s="92" t="str"/>
      <c r="E10" s="92" t="n"/>
      <c r="F10" s="92" t="n"/>
      <c r="G10" s="92" t="n"/>
      <c r="H10" s="92" t="n"/>
      <c r="I10" s="92" t="n"/>
      <c r="J10" s="92" t="n"/>
      <c r="K10" s="92" t="n"/>
      <c r="L10" s="92" t="n"/>
      <c r="M10" s="92" t="n"/>
      <c r="N10" s="92" t="n"/>
    </row>
    <row r="11">
      <c r="A11" s="92" t="inlineStr">
        <is>
          <t>ITBI</t>
        </is>
      </c>
      <c r="B11" s="137">
        <f>B9*Entradas!B16</f>
        <v/>
      </c>
      <c r="C11" s="92" t="inlineStr">
        <is>
          <t>R$</t>
        </is>
      </c>
      <c r="D11" s="92" t="str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</row>
    <row r="12">
      <c r="A12" s="92" t="inlineStr">
        <is>
          <t>Registro/escritura</t>
        </is>
      </c>
      <c r="B12" s="137">
        <f>Entradas!B17</f>
        <v/>
      </c>
      <c r="C12" s="92" t="inlineStr">
        <is>
          <t>R$</t>
        </is>
      </c>
      <c r="D12" s="92" t="str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</row>
    <row r="13">
      <c r="A13" s="92" t="inlineStr">
        <is>
          <t>Honorários jurídicos</t>
        </is>
      </c>
      <c r="B13" s="137">
        <f>Entradas!B18</f>
        <v/>
      </c>
      <c r="C13" s="92" t="inlineStr">
        <is>
          <t>R$</t>
        </is>
      </c>
      <c r="D13" s="92" t="str"/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</row>
    <row r="14">
      <c r="A14" s="92" t="inlineStr">
        <is>
          <t>Certidões/documentos</t>
        </is>
      </c>
      <c r="B14" s="137">
        <f>Entradas!B19</f>
        <v/>
      </c>
      <c r="C14" s="92" t="inlineStr">
        <is>
          <t>R$</t>
        </is>
      </c>
      <c r="D14" s="92" t="str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</row>
    <row r="15">
      <c r="A15" s="92" t="inlineStr">
        <is>
          <t>Reforma</t>
        </is>
      </c>
      <c r="B15" s="137">
        <f>Cenarios!E9</f>
        <v/>
      </c>
      <c r="C15" s="92" t="inlineStr">
        <is>
          <t>R$</t>
        </is>
      </c>
      <c r="D15" s="92" t="str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</row>
    <row r="16">
      <c r="A16" s="92" t="inlineStr">
        <is>
          <t>Débitos assumidos</t>
        </is>
      </c>
      <c r="B16" s="137">
        <f>Cenarios!E10</f>
        <v/>
      </c>
      <c r="C16" s="92" t="inlineStr">
        <is>
          <t>R$</t>
        </is>
      </c>
      <c r="D16" s="92" t="str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</row>
    <row r="17">
      <c r="A17" s="92" t="inlineStr">
        <is>
          <t>Contingência jurídica</t>
        </is>
      </c>
      <c r="B17" s="137">
        <f>Cenarios!E11</f>
        <v/>
      </c>
      <c r="C17" s="92" t="inlineStr">
        <is>
          <t>R$</t>
        </is>
      </c>
      <c r="D17" s="92" t="str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</row>
    <row r="18">
      <c r="A18" s="92" t="inlineStr">
        <is>
          <t>Custo de carrego</t>
        </is>
      </c>
      <c r="B18" s="137">
        <f>(Entradas!B21+Entradas!B22+Entradas!B23)*(Cenarios!E6+Cenarios!E7+Cenarios!E8)</f>
        <v/>
      </c>
      <c r="C18" s="92" t="inlineStr">
        <is>
          <t>R$</t>
        </is>
      </c>
      <c r="D18" s="92" t="str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</row>
    <row r="19">
      <c r="A19" s="92" t="inlineStr">
        <is>
          <t>Investimento total</t>
        </is>
      </c>
      <c r="B19" s="137">
        <f>SUM(B9:B18)</f>
        <v/>
      </c>
      <c r="C19" s="92" t="inlineStr">
        <is>
          <t>R$</t>
        </is>
      </c>
      <c r="D19" s="92" t="str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</row>
    <row r="20">
      <c r="A20" s="92" t="inlineStr">
        <is>
          <t>Lucro antes de imposto</t>
        </is>
      </c>
      <c r="B20" s="137">
        <f>B8-B19</f>
        <v/>
      </c>
      <c r="C20" s="92" t="inlineStr">
        <is>
          <t>R$</t>
        </is>
      </c>
      <c r="D20" s="92" t="str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</row>
    <row r="21">
      <c r="A21" s="92" t="inlineStr">
        <is>
          <t>Imposto estimado</t>
        </is>
      </c>
      <c r="B21" s="137">
        <f>MAX(0,B20*Entradas!B28)</f>
        <v/>
      </c>
      <c r="C21" s="92" t="inlineStr">
        <is>
          <t>R$</t>
        </is>
      </c>
      <c r="D21" s="92" t="str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</row>
    <row r="22">
      <c r="A22" s="92" t="inlineStr">
        <is>
          <t>Lucro líquido</t>
        </is>
      </c>
      <c r="B22" s="137">
        <f>B20-B21</f>
        <v/>
      </c>
      <c r="C22" s="92" t="inlineStr">
        <is>
          <t>R$</t>
        </is>
      </c>
      <c r="D22" s="92" t="str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 ht="22" customHeight="1">
      <c r="A24" s="25" t="inlineStr">
        <is>
          <t>INDICADORES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6" t="inlineStr">
        <is>
          <t>Indicador</t>
        </is>
      </c>
      <c r="B25" s="6" t="inlineStr">
        <is>
          <t>Resultado</t>
        </is>
      </c>
      <c r="C25" s="6" t="inlineStr">
        <is>
          <t>Meta / referência</t>
        </is>
      </c>
      <c r="D25" s="6" t="inlineStr">
        <is>
          <t>Interpretação</t>
        </is>
      </c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>
      <c r="A26" s="92" t="inlineStr">
        <is>
          <t>Prazo total</t>
        </is>
      </c>
      <c r="B26" s="141">
        <f>SUM(Cenarios!E6:E8)</f>
        <v/>
      </c>
      <c r="C26" s="92" t="inlineStr">
        <is>
          <t>≤ 12 meses</t>
        </is>
      </c>
      <c r="D26" s="92" t="str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</row>
    <row r="27">
      <c r="A27" s="92" t="inlineStr">
        <is>
          <t>Desconto bruto</t>
        </is>
      </c>
      <c r="B27" s="142">
        <f>IFERROR(1-Entradas!B14/B5,0)</f>
        <v/>
      </c>
      <c r="C27" s="92" t="inlineStr">
        <is>
          <t>&gt;= 30%</t>
        </is>
      </c>
      <c r="D27" s="92" t="str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</row>
    <row r="28">
      <c r="A28" s="92" t="inlineStr">
        <is>
          <t>Margem líquida</t>
        </is>
      </c>
      <c r="B28" s="142">
        <f>IFERROR(B22/B6,0)</f>
        <v/>
      </c>
      <c r="C28" s="92" t="inlineStr">
        <is>
          <t>&gt;= 15%</t>
        </is>
      </c>
      <c r="D28" s="92" t="str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</row>
    <row r="29">
      <c r="A29" s="92" t="inlineStr">
        <is>
          <t>ROI total</t>
        </is>
      </c>
      <c r="B29" s="142">
        <f>IFERROR(B22/B19,0)</f>
        <v/>
      </c>
      <c r="C29" s="92" t="inlineStr">
        <is>
          <t>&gt;= 20%</t>
        </is>
      </c>
      <c r="D29" s="92" t="str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</row>
    <row r="30">
      <c r="A30" s="92" t="inlineStr">
        <is>
          <t>ROI anualizado</t>
        </is>
      </c>
      <c r="B30" s="142">
        <f>IFERROR((1+B29)^(12/B26)-1,0)</f>
        <v/>
      </c>
      <c r="C30" s="92" t="inlineStr">
        <is>
          <t>&gt;= TMA</t>
        </is>
      </c>
      <c r="D30" s="92" t="str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</row>
    <row r="31">
      <c r="A31" s="92" t="inlineStr">
        <is>
          <t>Capital em risco</t>
        </is>
      </c>
      <c r="B31" s="137">
        <f>B19</f>
        <v/>
      </c>
      <c r="C31" s="92" t="str"/>
      <c r="D31" s="92" t="str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</row>
    <row r="32">
      <c r="A32" s="92" t="inlineStr">
        <is>
          <t>Lucro mínimo desejado</t>
        </is>
      </c>
      <c r="B32" s="137">
        <f>B31*((1+Entradas!B29)^(B26/12)-1)+0.15*B6</f>
        <v/>
      </c>
      <c r="C32" s="92" t="str"/>
      <c r="D32" s="92" t="str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inlineStr">
        <is>
          <t>Lance máximo recomendado</t>
        </is>
      </c>
      <c r="B33" s="137">
        <f>(B8-B12-B13-B14-B15-B16-B17-B18-B21-B32)/(1+Entradas!B15+Entradas!B16)</f>
        <v/>
      </c>
      <c r="C33" s="92" t="str"/>
      <c r="D33" s="92" t="str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inlineStr">
        <is>
          <t>Folga até o lance máximo</t>
        </is>
      </c>
      <c r="B34" s="137">
        <f>B33-Entradas!B14</f>
        <v/>
      </c>
      <c r="C34" s="92" t="inlineStr">
        <is>
          <t>&gt; 0</t>
        </is>
      </c>
      <c r="D34" s="92" t="str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3">
    <mergeCell ref="A3:N3"/>
    <mergeCell ref="A24:N24"/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42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7" t="inlineStr">
        <is>
          <t>SCORE DE RISCO E DECISÃO</t>
        </is>
      </c>
      <c r="B1" s="1" t="n"/>
      <c r="C1" s="1" t="n"/>
      <c r="D1" s="1" t="n"/>
      <c r="E1" s="1" t="n"/>
      <c r="F1" s="1" t="n"/>
      <c r="G1" s="1" t="n"/>
      <c r="H1" s="1" t="n"/>
      <c r="I1" s="92" t="n"/>
      <c r="J1" s="92" t="n"/>
      <c r="K1" s="92" t="n"/>
      <c r="L1" s="92" t="n"/>
      <c r="M1" s="92" t="n"/>
      <c r="N1" s="92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 ht="22" customHeight="1">
      <c r="A3" s="25" t="inlineStr">
        <is>
          <t>MOTOR DE BLOQUEIO</t>
        </is>
      </c>
      <c r="B3" s="1" t="n"/>
      <c r="C3" s="1" t="n"/>
      <c r="D3" s="1" t="n"/>
      <c r="E3" s="1" t="n"/>
      <c r="F3" s="1" t="n"/>
      <c r="G3" s="1" t="n"/>
      <c r="H3" s="1" t="n"/>
      <c r="I3" s="92" t="n"/>
      <c r="J3" s="92" t="n"/>
      <c r="K3" s="92" t="n"/>
      <c r="L3" s="92" t="n"/>
      <c r="M3" s="92" t="n"/>
      <c r="N3" s="92" t="n"/>
    </row>
    <row r="4">
      <c r="A4" s="6" t="inlineStr">
        <is>
          <t>Indicador</t>
        </is>
      </c>
      <c r="B4" s="6" t="inlineStr">
        <is>
          <t>Resultado</t>
        </is>
      </c>
      <c r="C4" s="6" t="inlineStr">
        <is>
          <t>Regra</t>
        </is>
      </c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</row>
    <row r="5">
      <c r="A5" s="92" t="inlineStr">
        <is>
          <t>Bloqueios da diligência</t>
        </is>
      </c>
      <c r="B5" s="114">
        <f>Diligencia!B28</f>
        <v/>
      </c>
      <c r="C5" s="92" t="inlineStr">
        <is>
          <t>Qualquer bloqueio ativo impede lance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</row>
    <row r="6">
      <c r="A6" s="92" t="inlineStr">
        <is>
          <t>Comparáveis suficientes</t>
        </is>
      </c>
      <c r="B6" s="114">
        <f>IF(Comparaveis!B17&gt;=5,"SIM","NÃO")</f>
        <v/>
      </c>
      <c r="C6" s="92" t="inlineStr">
        <is>
          <t>Mínimo 5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</row>
    <row r="7">
      <c r="A7" s="92" t="inlineStr">
        <is>
          <t>Débitos pendentes</t>
        </is>
      </c>
      <c r="B7" s="114">
        <f>IF(Debitos!B16=0,"SIM","NÃO")</f>
        <v/>
      </c>
      <c r="C7" s="92" t="inlineStr">
        <is>
          <t>Devem estar apurados ou formalmente cobertos</t>
        </is>
      </c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</row>
    <row r="8">
      <c r="A8" s="92" t="inlineStr">
        <is>
          <t>Lance dentro do máximo</t>
        </is>
      </c>
      <c r="B8" s="114">
        <f>IF(Entradas!B14&lt;=Fluxo!B33,"SIM","NÃO")</f>
        <v/>
      </c>
      <c r="C8" s="92" t="inlineStr">
        <is>
          <t>Arrematação ≤ lance máximo</t>
        </is>
      </c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</row>
    <row r="9">
      <c r="A9" s="92" t="inlineStr">
        <is>
          <t>Liberação geral</t>
        </is>
      </c>
      <c r="B9" s="114">
        <f>IF(AND(B5=0,B6="SIM",B7="SIM",B8="SIM"),"LIBERADO","BLOQUEADO")</f>
        <v/>
      </c>
      <c r="C9" s="92" t="inlineStr">
        <is>
          <t>Todos os critérios acima atendidos</t>
        </is>
      </c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92" t="n"/>
      <c r="N9" s="92" t="n"/>
    </row>
    <row r="10">
      <c r="A10" s="92" t="n"/>
      <c r="B10" s="92" t="n"/>
      <c r="C10" s="92" t="n"/>
      <c r="D10" s="92" t="n"/>
      <c r="E10" s="92" t="n"/>
      <c r="F10" s="92" t="n"/>
      <c r="G10" s="92" t="n"/>
      <c r="H10" s="92" t="n"/>
      <c r="I10" s="92" t="n"/>
      <c r="J10" s="92" t="n"/>
      <c r="K10" s="92" t="n"/>
      <c r="L10" s="92" t="n"/>
      <c r="M10" s="92" t="n"/>
      <c r="N10" s="92" t="n"/>
    </row>
    <row r="11" ht="22" customHeight="1">
      <c r="A11" s="25" t="inlineStr">
        <is>
          <t>PONTUAÇÃO — SOMENTE APÓS LIBERAÇÃO</t>
        </is>
      </c>
      <c r="B11" s="1" t="n"/>
      <c r="C11" s="1" t="n"/>
      <c r="D11" s="1" t="n"/>
      <c r="E11" s="1" t="n"/>
      <c r="F11" s="1" t="n"/>
      <c r="G11" s="1" t="n"/>
      <c r="H11" s="1" t="n"/>
      <c r="I11" s="92" t="n"/>
      <c r="J11" s="92" t="n"/>
      <c r="K11" s="92" t="n"/>
      <c r="L11" s="92" t="n"/>
      <c r="M11" s="92" t="n"/>
      <c r="N11" s="92" t="n"/>
    </row>
    <row r="12">
      <c r="A12" s="6" t="inlineStr">
        <is>
          <t>Critério</t>
        </is>
      </c>
      <c r="B12" s="6" t="inlineStr">
        <is>
          <t>Peso</t>
        </is>
      </c>
      <c r="C12" s="6" t="inlineStr">
        <is>
          <t>Pontos</t>
        </is>
      </c>
      <c r="D12" s="6" t="inlineStr">
        <is>
          <t>Regra resumida</t>
        </is>
      </c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</row>
    <row r="13">
      <c r="A13" s="92" t="inlineStr">
        <is>
          <t>Desconto sobre mercado</t>
        </is>
      </c>
      <c r="B13" s="92" t="n">
        <v>20</v>
      </c>
      <c r="C13" s="114">
        <f>IF(Fluxo!B27&gt;=0.4,20,IF(Fluxo!B27&gt;=0.3,15,IF(Fluxo!B27&gt;=0.2,8,0)))</f>
        <v/>
      </c>
      <c r="D13" s="92" t="inlineStr">
        <is>
          <t>&gt;=40%=20; &gt;=30%=15; &gt;=20%=8</t>
        </is>
      </c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</row>
    <row r="14">
      <c r="A14" s="92" t="inlineStr">
        <is>
          <t>ROI anualizado</t>
        </is>
      </c>
      <c r="B14" s="92" t="n">
        <v>20</v>
      </c>
      <c r="C14" s="114">
        <f>IF(Fluxo!B30&gt;=0.3,20,IF(Fluxo!B30&gt;=0.2,15,IF(Fluxo!B30&gt;=Entradas!B29,8,0)))</f>
        <v/>
      </c>
      <c r="D14" s="92" t="inlineStr">
        <is>
          <t>&gt;=30%=20; &gt;=20%=15; &gt;=TMA=8</t>
        </is>
      </c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</row>
    <row r="15">
      <c r="A15" s="92" t="inlineStr">
        <is>
          <t>Ocupação / posse</t>
        </is>
      </c>
      <c r="B15" s="92" t="n">
        <v>15</v>
      </c>
      <c r="C15" s="114">
        <f>IF(Cenarios!E6&lt;=1,15,IF(Cenarios!E6&lt;=4,10,IF(Cenarios!E6&lt;=8,5,0)))</f>
        <v/>
      </c>
      <c r="D15" s="92" t="inlineStr">
        <is>
          <t>Prazo até posse: &lt;=1=15; &lt;=4=10; &lt;=8=5</t>
        </is>
      </c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</row>
    <row r="16">
      <c r="A16" s="92" t="inlineStr">
        <is>
          <t>Ônus e débitos</t>
        </is>
      </c>
      <c r="B16" s="92" t="n">
        <v>15</v>
      </c>
      <c r="C16" s="114">
        <f>IF(AND(Debitos!B16=0,Diligencia!B27=0),15,0)</f>
        <v/>
      </c>
      <c r="D16" s="92" t="inlineStr">
        <is>
          <t>Sem pendência=15; caso contrário 0</t>
        </is>
      </c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</row>
    <row r="17">
      <c r="A17" s="92" t="inlineStr">
        <is>
          <t>Conservação / reforma</t>
        </is>
      </c>
      <c r="B17" s="92" t="n">
        <v>10</v>
      </c>
      <c r="C17" s="114">
        <f>IF(Cenarios!E9/Fluxo!B6&lt;=0.05,10,IF(Cenarios!E9/Fluxo!B6&lt;=0.1,7,IF(Cenarios!E9/Fluxo!B6&lt;=0.2,3,0)))</f>
        <v/>
      </c>
      <c r="D17" s="92" t="inlineStr">
        <is>
          <t>Reforma / venda: &lt;=5%=10; &lt;=10%=7; &lt;=20%=3</t>
        </is>
      </c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</row>
    <row r="18">
      <c r="A18" s="92" t="inlineStr">
        <is>
          <t>Liquidez / prazo de venda</t>
        </is>
      </c>
      <c r="B18" s="92" t="n">
        <v>10</v>
      </c>
      <c r="C18" s="114">
        <f>IF(Cenarios!E8&lt;=3,10,IF(Cenarios!E8&lt;=6,7,IF(Cenarios!E8&lt;=9,4,0)))</f>
        <v/>
      </c>
      <c r="D18" s="92" t="inlineStr">
        <is>
          <t>&lt;=3m=10; &lt;=6m=7; &lt;=9m=4</t>
        </is>
      </c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</row>
    <row r="19">
      <c r="A19" s="92" t="inlineStr">
        <is>
          <t>Confiança de mercado</t>
        </is>
      </c>
      <c r="B19" s="92" t="n">
        <v>10</v>
      </c>
      <c r="C19" s="114">
        <f>IF(Comparaveis!B17&gt;=5,10,IF(Comparaveis!B17&gt;=3,5,0))</f>
        <v/>
      </c>
      <c r="D19" s="92" t="inlineStr">
        <is>
          <t>5+ comparáveis=10; 3-4=5</t>
        </is>
      </c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</row>
    <row r="20">
      <c r="A20" s="92" t="inlineStr">
        <is>
          <t>TOTAL</t>
        </is>
      </c>
      <c r="B20" s="92" t="n">
        <v>100</v>
      </c>
      <c r="C20" s="114">
        <f>SUM(C13:C19)</f>
        <v/>
      </c>
      <c r="D20" s="92" t="str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</row>
    <row r="21">
      <c r="A21" s="92" t="inlineStr">
        <is>
          <t>CLASSIFICAÇÃO</t>
        </is>
      </c>
      <c r="B21" s="92" t="n"/>
      <c r="C21" s="114">
        <f>IF(B9="BLOQUEADO","VERMELHO - BLOQUEADO",IF(C20&gt;=80,"VERDE",IF(C20&gt;=60,"AMARELO","VERMELHO")))</f>
        <v/>
      </c>
      <c r="D21" s="92" t="str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</row>
    <row r="2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</row>
    <row r="25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</row>
    <row r="27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</row>
    <row r="28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</row>
    <row r="29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</row>
    <row r="30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3">
    <mergeCell ref="A3:H3"/>
    <mergeCell ref="A11:H11"/>
    <mergeCell ref="A1:H1"/>
  </mergeCells>
  <conditionalFormatting sqref="B9">
    <cfRule type="expression" priority="1" dxfId="0">
      <formula>B9="BLOQUEADO"</formula>
    </cfRule>
    <cfRule type="expression" priority="2" dxfId="4">
      <formula>B9="LIBERADO"</formula>
    </cfRule>
  </conditionalFormatting>
  <conditionalFormatting sqref="C21">
    <cfRule type="expression" priority="3" dxfId="4">
      <formula>LEFT(C21,5)="VERDE"</formula>
    </cfRule>
    <cfRule type="expression" priority="4" dxfId="8">
      <formula>LEFT(C21,7)="AMARELO"</formula>
    </cfRule>
    <cfRule type="expression" priority="5" dxfId="0">
      <formula>LEFT(C21,8)="VERMELHO"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7" t="inlineStr">
        <is>
          <t>DASHBOARD EXECUTIVO — DECISÃO DE ARREMATAÇÃO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92" t="n"/>
      <c r="N1" s="92" t="n"/>
    </row>
    <row r="2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</row>
    <row r="3" ht="22" customHeight="1">
      <c r="A3" s="25" t="inlineStr">
        <is>
          <t>DECISÃO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92" t="n"/>
      <c r="N3" s="92" t="n"/>
    </row>
    <row r="4">
      <c r="A4" s="83">
        <f>Score!C21</f>
        <v/>
      </c>
      <c r="B4" s="1" t="n"/>
      <c r="C4" s="1" t="n"/>
      <c r="D4" s="1" t="n"/>
      <c r="E4" s="91">
        <f>IF(Score!B9="BLOQUEADO","NÃO DAR LANCE","LANCE MÁXIMO: "&amp;TEXT(Fluxo!B33,"R$ #,##0"))</f>
        <v/>
      </c>
      <c r="F4" s="1" t="n"/>
      <c r="G4" s="1" t="n"/>
      <c r="H4" s="1" t="n"/>
      <c r="I4" s="143">
        <f>Fluxo!B34</f>
        <v/>
      </c>
      <c r="J4" s="1" t="n"/>
      <c r="K4" s="1" t="n"/>
      <c r="L4" s="1" t="n"/>
      <c r="M4" s="92" t="n"/>
      <c r="N4" s="92" t="n"/>
    </row>
    <row r="5">
      <c r="A5" s="1" t="n"/>
      <c r="D5" s="1" t="n"/>
      <c r="E5" s="1" t="n"/>
      <c r="H5" s="1" t="n"/>
      <c r="I5" s="1" t="n"/>
      <c r="L5" s="1" t="n"/>
      <c r="M5" s="92" t="n"/>
      <c r="N5" s="92" t="n"/>
    </row>
    <row r="6">
      <c r="A6" s="1" t="n"/>
      <c r="D6" s="1" t="n"/>
      <c r="E6" s="1" t="n"/>
      <c r="H6" s="1" t="n"/>
      <c r="I6" s="1" t="n"/>
      <c r="L6" s="1" t="n"/>
      <c r="M6" s="92" t="n"/>
      <c r="N6" s="92" t="n"/>
    </row>
    <row r="7">
      <c r="A7" s="1" t="n"/>
      <c r="D7" s="1" t="n"/>
      <c r="E7" s="1" t="n"/>
      <c r="H7" s="1" t="n"/>
      <c r="I7" s="1" t="n"/>
      <c r="L7" s="1" t="n"/>
      <c r="M7" s="92" t="n"/>
      <c r="N7" s="92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92" t="n"/>
      <c r="N8" s="92" t="n"/>
    </row>
    <row r="9">
      <c r="A9" s="92" t="n"/>
      <c r="B9" s="92" t="n"/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92" t="n"/>
      <c r="N9" s="92" t="n"/>
    </row>
    <row r="10" ht="22" customHeight="1">
      <c r="A10" s="25" t="inlineStr">
        <is>
          <t>INDICADORES FINANCEIROS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92" t="n"/>
      <c r="N10" s="92" t="n"/>
    </row>
    <row r="11">
      <c r="A11" s="6" t="inlineStr">
        <is>
          <t>Indicador</t>
        </is>
      </c>
      <c r="B11" s="6" t="inlineStr">
        <is>
          <t>Valor</t>
        </is>
      </c>
      <c r="C11" s="6" t="inlineStr">
        <is>
          <t>Meta</t>
        </is>
      </c>
      <c r="D11" s="6" t="inlineStr">
        <is>
          <t>Status</t>
        </is>
      </c>
      <c r="E11" s="6" t="inlineStr">
        <is>
          <t>Indicador</t>
        </is>
      </c>
      <c r="F11" s="6" t="inlineStr">
        <is>
          <t>Valor</t>
        </is>
      </c>
      <c r="G11" s="6" t="inlineStr">
        <is>
          <t>Meta</t>
        </is>
      </c>
      <c r="H11" s="6" t="inlineStr">
        <is>
          <t>Status</t>
        </is>
      </c>
      <c r="I11" s="92" t="n"/>
      <c r="J11" s="92" t="n"/>
      <c r="K11" s="92" t="n"/>
      <c r="L11" s="92" t="n"/>
      <c r="M11" s="92" t="n"/>
      <c r="N11" s="92" t="n"/>
    </row>
    <row r="12">
      <c r="A12" s="92" t="inlineStr">
        <is>
          <t>Valor de mercado</t>
        </is>
      </c>
      <c r="B12" s="137">
        <f>Fluxo!B5</f>
        <v/>
      </c>
      <c r="C12" s="92" t="inlineStr">
        <is>
          <t>Validado</t>
        </is>
      </c>
      <c r="D12" s="92" t="n"/>
      <c r="E12" s="92" t="inlineStr">
        <is>
          <t>Investimento total</t>
        </is>
      </c>
      <c r="F12" s="137">
        <f>Fluxo!B19</f>
        <v/>
      </c>
      <c r="G12" s="92" t="str"/>
      <c r="H12" s="92" t="str"/>
      <c r="I12" s="92" t="n"/>
      <c r="J12" s="92" t="n"/>
      <c r="K12" s="92" t="n"/>
      <c r="L12" s="92" t="n"/>
      <c r="M12" s="92" t="n"/>
      <c r="N12" s="92" t="n"/>
    </row>
    <row r="13">
      <c r="A13" s="92" t="inlineStr">
        <is>
          <t>Preço de arrematação</t>
        </is>
      </c>
      <c r="B13" s="137">
        <f>Entradas!B14</f>
        <v/>
      </c>
      <c r="C13" s="92" t="inlineStr">
        <is>
          <t>≤ lance máx.</t>
        </is>
      </c>
      <c r="D13" s="92" t="n"/>
      <c r="E13" s="92" t="inlineStr">
        <is>
          <t>Lucro líquido</t>
        </is>
      </c>
      <c r="F13" s="137">
        <f>Fluxo!B22</f>
        <v/>
      </c>
      <c r="G13" s="92" t="inlineStr">
        <is>
          <t>&gt; 0</t>
        </is>
      </c>
      <c r="H13" s="92" t="str"/>
      <c r="I13" s="92" t="n"/>
      <c r="J13" s="92" t="n"/>
      <c r="K13" s="92" t="n"/>
      <c r="L13" s="92" t="n"/>
      <c r="M13" s="92" t="n"/>
      <c r="N13" s="92" t="n"/>
    </row>
    <row r="14">
      <c r="A14" s="92" t="inlineStr">
        <is>
          <t>Desconto bruto</t>
        </is>
      </c>
      <c r="B14" s="142">
        <f>Fluxo!B27</f>
        <v/>
      </c>
      <c r="C14" s="92" t="inlineStr">
        <is>
          <t>&gt;=30%</t>
        </is>
      </c>
      <c r="D14" s="92" t="n"/>
      <c r="E14" s="92" t="inlineStr">
        <is>
          <t>ROI total</t>
        </is>
      </c>
      <c r="F14" s="142">
        <f>Fluxo!B29</f>
        <v/>
      </c>
      <c r="G14" s="92" t="inlineStr">
        <is>
          <t>&gt;=20%</t>
        </is>
      </c>
      <c r="H14" s="92" t="str"/>
      <c r="I14" s="92" t="n"/>
      <c r="J14" s="92" t="n"/>
      <c r="K14" s="92" t="n"/>
      <c r="L14" s="92" t="n"/>
      <c r="M14" s="92" t="n"/>
      <c r="N14" s="92" t="n"/>
    </row>
    <row r="15">
      <c r="A15" s="92" t="inlineStr">
        <is>
          <t>Prazo total</t>
        </is>
      </c>
      <c r="B15" s="141">
        <f>Fluxo!B26</f>
        <v/>
      </c>
      <c r="C15" s="92" t="inlineStr">
        <is>
          <t>≤12 meses</t>
        </is>
      </c>
      <c r="D15" s="92" t="n"/>
      <c r="E15" s="92" t="inlineStr">
        <is>
          <t>ROI anualizado</t>
        </is>
      </c>
      <c r="F15" s="142">
        <f>Fluxo!B30</f>
        <v/>
      </c>
      <c r="G15" s="92" t="inlineStr">
        <is>
          <t>&gt;=TMA</t>
        </is>
      </c>
      <c r="H15" s="92" t="str"/>
      <c r="I15" s="92" t="n"/>
      <c r="J15" s="92" t="n"/>
      <c r="K15" s="92" t="n"/>
      <c r="L15" s="92" t="n"/>
      <c r="M15" s="92" t="n"/>
      <c r="N15" s="92" t="n"/>
    </row>
    <row r="16">
      <c r="A16" s="92" t="inlineStr">
        <is>
          <t>Lance máximo</t>
        </is>
      </c>
      <c r="B16" s="137">
        <f>Fluxo!B33</f>
        <v/>
      </c>
      <c r="C16" s="92" t="str"/>
      <c r="D16" s="92" t="str"/>
      <c r="E16" s="92" t="inlineStr">
        <is>
          <t>Margem líquida</t>
        </is>
      </c>
      <c r="F16" s="142">
        <f>Fluxo!B28</f>
        <v/>
      </c>
      <c r="G16" s="92" t="inlineStr">
        <is>
          <t>&gt;=15%</t>
        </is>
      </c>
      <c r="H16" s="92" t="str"/>
      <c r="I16" s="92" t="n"/>
      <c r="J16" s="92" t="n"/>
      <c r="K16" s="92" t="n"/>
      <c r="L16" s="92" t="n"/>
      <c r="M16" s="92" t="n"/>
      <c r="N16" s="92" t="n"/>
    </row>
    <row r="17">
      <c r="A17" s="92" t="n"/>
      <c r="B17" s="92" t="n"/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</row>
    <row r="18" ht="22" customHeight="1">
      <c r="A18" s="25" t="inlineStr">
        <is>
          <t>RISCOS E PENDÊNCIAS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92" t="n"/>
      <c r="N18" s="92" t="n"/>
    </row>
    <row r="19">
      <c r="A19" s="6" t="inlineStr">
        <is>
          <t>Indicador</t>
        </is>
      </c>
      <c r="B19" s="6" t="inlineStr">
        <is>
          <t>Resultado</t>
        </is>
      </c>
      <c r="C19" s="6" t="inlineStr">
        <is>
          <t>Leitura</t>
        </is>
      </c>
      <c r="D19" s="6" t="inlineStr">
        <is>
          <t>Indicador</t>
        </is>
      </c>
      <c r="E19" s="6" t="inlineStr">
        <is>
          <t>Resultado</t>
        </is>
      </c>
      <c r="F19" s="6" t="inlineStr">
        <is>
          <t>Leitura</t>
        </is>
      </c>
      <c r="G19" s="92" t="n"/>
      <c r="H19" s="92" t="n"/>
      <c r="I19" s="92" t="n"/>
      <c r="J19" s="92" t="n"/>
      <c r="K19" s="92" t="n"/>
      <c r="L19" s="92" t="n"/>
      <c r="M19" s="92" t="n"/>
      <c r="N19" s="92" t="n"/>
    </row>
    <row r="20">
      <c r="A20" s="92" t="inlineStr">
        <is>
          <t>Bloqueios ativos</t>
        </is>
      </c>
      <c r="B20" s="114">
        <f>Diligencia!B28</f>
        <v/>
      </c>
      <c r="C20" s="114" t="inlineStr">
        <is>
          <t>Deve ser zero</t>
        </is>
      </c>
      <c r="D20" s="114" t="inlineStr">
        <is>
          <t>Críticos pendentes</t>
        </is>
      </c>
      <c r="E20" s="114">
        <f>Diligencia!B26</f>
        <v/>
      </c>
      <c r="F20" s="92" t="inlineStr">
        <is>
          <t>Deve ser zero</t>
        </is>
      </c>
      <c r="G20" s="92" t="n"/>
      <c r="H20" s="92" t="n"/>
      <c r="I20" s="92" t="n"/>
      <c r="J20" s="92" t="n"/>
      <c r="K20" s="92" t="n"/>
      <c r="L20" s="92" t="n"/>
      <c r="M20" s="92" t="n"/>
      <c r="N20" s="92" t="n"/>
    </row>
    <row r="21">
      <c r="A21" s="92" t="inlineStr">
        <is>
          <t>Críticos com problema</t>
        </is>
      </c>
      <c r="B21" s="114">
        <f>Diligencia!B27</f>
        <v/>
      </c>
      <c r="C21" s="114" t="inlineStr">
        <is>
          <t>Deve ser zero</t>
        </is>
      </c>
      <c r="D21" s="114" t="inlineStr">
        <is>
          <t>Débitos pendentes</t>
        </is>
      </c>
      <c r="E21" s="114">
        <f>Debitos!B16</f>
        <v/>
      </c>
      <c r="F21" s="92" t="inlineStr">
        <is>
          <t>Deve ser zero</t>
        </is>
      </c>
      <c r="G21" s="92" t="n"/>
      <c r="H21" s="92" t="n"/>
      <c r="I21" s="92" t="n"/>
      <c r="J21" s="92" t="n"/>
      <c r="K21" s="92" t="n"/>
      <c r="L21" s="92" t="n"/>
      <c r="M21" s="92" t="n"/>
      <c r="N21" s="92" t="n"/>
    </row>
    <row r="22">
      <c r="A22" s="92" t="inlineStr">
        <is>
          <t>Comparáveis usados</t>
        </is>
      </c>
      <c r="B22" s="114">
        <f>Comparaveis!B17</f>
        <v/>
      </c>
      <c r="C22" s="114" t="inlineStr">
        <is>
          <t>Mínimo 5</t>
        </is>
      </c>
      <c r="D22" s="114" t="inlineStr">
        <is>
          <t>Score</t>
        </is>
      </c>
      <c r="E22" s="114">
        <f>Score!C20</f>
        <v/>
      </c>
      <c r="F22" s="92" t="inlineStr">
        <is>
          <t>Somente após liberação</t>
        </is>
      </c>
      <c r="G22" s="92" t="n"/>
      <c r="H22" s="92" t="n"/>
      <c r="I22" s="92" t="n"/>
      <c r="J22" s="92" t="n"/>
      <c r="K22" s="92" t="n"/>
      <c r="L22" s="92" t="n"/>
      <c r="M22" s="92" t="n"/>
      <c r="N22" s="92" t="n"/>
    </row>
    <row r="23">
      <c r="A23" s="92" t="inlineStr">
        <is>
          <t>Cenário selecionado</t>
        </is>
      </c>
      <c r="B23" s="114">
        <f>Entradas!B10</f>
        <v/>
      </c>
      <c r="C23" s="114" t="str"/>
      <c r="D23" s="114" t="inlineStr">
        <is>
          <t>Prazo até posse</t>
        </is>
      </c>
      <c r="E23" s="114">
        <f>Cenarios!E6</f>
        <v/>
      </c>
      <c r="F23" s="92" t="inlineStr">
        <is>
          <t>meses</t>
        </is>
      </c>
      <c r="G23" s="92" t="n"/>
      <c r="H23" s="92" t="n"/>
      <c r="I23" s="92" t="n"/>
      <c r="J23" s="92" t="n"/>
      <c r="K23" s="92" t="n"/>
      <c r="L23" s="92" t="n"/>
      <c r="M23" s="92" t="n"/>
      <c r="N23" s="92" t="n"/>
    </row>
    <row r="24">
      <c r="A24" s="92" t="inlineStr">
        <is>
          <t>Reforma selecionada</t>
        </is>
      </c>
      <c r="B24" s="137">
        <f>Cenarios!E9</f>
        <v/>
      </c>
      <c r="C24" s="114" t="str"/>
      <c r="D24" s="114" t="inlineStr">
        <is>
          <t>Prazo de venda</t>
        </is>
      </c>
      <c r="E24" s="114">
        <f>Cenarios!E8</f>
        <v/>
      </c>
      <c r="F24" s="92" t="inlineStr">
        <is>
          <t>meses</t>
        </is>
      </c>
      <c r="G24" s="92" t="n"/>
      <c r="H24" s="92" t="n"/>
      <c r="I24" s="92" t="n"/>
      <c r="J24" s="92" t="n"/>
      <c r="K24" s="92" t="n"/>
      <c r="L24" s="92" t="n"/>
      <c r="M24" s="92" t="n"/>
      <c r="N24" s="92" t="n"/>
    </row>
    <row r="25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</row>
    <row r="26" ht="22" customHeight="1">
      <c r="A26" s="25" t="inlineStr">
        <is>
          <t>PRÓXIMAS AÇÕES PRIORITÁRIAS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92" t="n"/>
      <c r="N26" s="92" t="n"/>
    </row>
    <row r="27">
      <c r="A27" s="96" t="inlineStr">
        <is>
          <t>1. Validar juridicamente a penhora e a baixa do ônus.</t>
        </is>
      </c>
      <c r="B27" s="96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2" t="n"/>
      <c r="N27" s="92" t="n"/>
    </row>
    <row r="28">
      <c r="A28" s="96" t="inlineStr">
        <is>
          <t>2. Obter saldo atualizado do condomínio e certidão de IPTU.</t>
        </is>
      </c>
      <c r="B28" s="96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2" t="n"/>
      <c r="N28" s="92" t="n"/>
    </row>
    <row r="29">
      <c r="A29" s="96" t="inlineStr">
        <is>
          <t>3. Confirmar ocupação e realizar visita técnica.</t>
        </is>
      </c>
      <c r="B29" s="96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2" t="n"/>
      <c r="N29" s="92" t="n"/>
    </row>
    <row r="30">
      <c r="A30" s="96" t="inlineStr">
        <is>
          <t>4. Inserir pelo menos cinco comparáveis reais.</t>
        </is>
      </c>
      <c r="B30" s="96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2" t="n"/>
      <c r="N30" s="92" t="n"/>
    </row>
    <row r="31">
      <c r="A31" s="96" t="inlineStr">
        <is>
          <t>5. Confirmar capital disponível e respeitar o lance máximo.</t>
        </is>
      </c>
      <c r="B31" s="96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2" t="n"/>
      <c r="N31" s="92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</row>
  </sheetData>
  <mergeCells count="8">
    <mergeCell ref="A26:L26"/>
    <mergeCell ref="A10:L10"/>
    <mergeCell ref="A1:L1"/>
    <mergeCell ref="A4:D8"/>
    <mergeCell ref="A18:L18"/>
    <mergeCell ref="E4:H8"/>
    <mergeCell ref="A3:L3"/>
    <mergeCell ref="I4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2026-07-25T12:02:29Z</dcterms:created>
  <dcterms:modified xsi:type="dcterms:W3CDTF">2026-07-25T12:02:29Z</dcterms:modified>
</cp:coreProperties>
</file>